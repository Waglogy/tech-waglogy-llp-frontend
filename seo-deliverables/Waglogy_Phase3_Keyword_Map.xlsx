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ority Keywords" sheetId="2" state="visible" r:id="rId4"/>
    <sheet name="Location Keywords" sheetId="3" state="visible" r:id="rId5"/>
    <sheet name="Service Keywords" sheetId="4" state="visible" r:id="rId6"/>
    <sheet name="Long-tail (Blog)" sheetId="5" state="visible" r:id="rId7"/>
    <sheet name="Page-Keyword Map" sheetId="6" state="visible" r:id="rId8"/>
    <sheet name="Tracking She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<sst xmlns="http://schemas.openxmlformats.org/spreadsheetml/2006/main" count="521" uniqueCount="301">
  <si>
    <t xml:space="preserve">Tech Waglogy — Northeast India SEO Keyword Map</t>
  </si>
  <si>
    <t xml:space="preserve">Phase 3 deliverable · waglogy.in · Generated May 15, 2026</t>
  </si>
  <si>
    <t xml:space="preserve">How to use this workbook</t>
  </si>
  <si>
    <t xml:space="preserve">Sheet</t>
  </si>
  <si>
    <t xml:space="preserve">Purpose</t>
  </si>
  <si>
    <t xml:space="preserve">Priority Keywords</t>
  </si>
  <si>
    <t xml:space="preserve">Top 30 keywords to win in the first 90 days. Sorted by Priority score.</t>
  </si>
  <si>
    <t xml:space="preserve">Location Keywords</t>
  </si>
  <si>
    <t xml:space="preserve">Per-city keyword universe. Use these on /web-development/{city} pages.</t>
  </si>
  <si>
    <t xml:space="preserve">Service Keywords</t>
  </si>
  <si>
    <t xml:space="preserve">Per-service keyword universe. Use these on /services/{service} pages.</t>
  </si>
  <si>
    <t xml:space="preserve">Long-tail (Blog)</t>
  </si>
  <si>
    <t xml:space="preserve">Question-style keywords for blog posts (Phase 4 content strategy).</t>
  </si>
  <si>
    <t xml:space="preserve">Page-Keyword Map</t>
  </si>
  <si>
    <t xml:space="preserve">Which keyword maps to which URL. Use as the source of truth when writing copy.</t>
  </si>
  <si>
    <t xml:space="preserve">Tracking Sheet</t>
  </si>
  <si>
    <t xml:space="preserve">Empty sheet to log monthly rank positions per keyword.</t>
  </si>
  <si>
    <t xml:space="preserve">Volume estimates</t>
  </si>
  <si>
    <t xml:space="preserve">Approximate monthly search volumes from Ubersuggest free tier + Google Keyword Planner ranges. NE India keywords typically have very low absolute volumes (10–500/mo) but exceptionally high commercial intent — winning these matters more than chasing high-volume vanity terms.</t>
  </si>
  <si>
    <t xml:space="preserve">Difficulty (KD)</t>
  </si>
  <si>
    <t xml:space="preserve">1–100 scale. &lt;30 = winnable in 60–90 days with on-page only. 30–50 = need on-page + 5–10 backlinks. 50+ = need consistent content + authority building.</t>
  </si>
  <si>
    <t xml:space="preserve">Intent</t>
  </si>
  <si>
    <t xml:space="preserve">I = Informational, N = Navigational, T = Transactional, C = Commercial Investigation. Prioritize T and C — they convert.</t>
  </si>
  <si>
    <t xml:space="preserve">Priority</t>
  </si>
  <si>
    <t xml:space="preserve">Composite score (1–10). Calculated from intent weight + (100 − difficulty) + log(volume). Higher = work on first.</t>
  </si>
  <si>
    <t xml:space="preserve">Status colour</t>
  </si>
  <si>
    <t xml:space="preserve">Light blue = primary (drive 1 page). Light green = secondary (support primary). White = long-tail (blog opportunity).</t>
  </si>
  <si>
    <t xml:space="preserve">#</t>
  </si>
  <si>
    <t xml:space="preserve">Keyword</t>
  </si>
  <si>
    <t xml:space="preserve">Monthly Volume (est.)</t>
  </si>
  <si>
    <t xml:space="preserve">Target URL</t>
  </si>
  <si>
    <t xml:space="preserve">Tier</t>
  </si>
  <si>
    <t xml:space="preserve">Notes</t>
  </si>
  <si>
    <t xml:space="preserve">web development company in sikkim</t>
  </si>
  <si>
    <t xml:space="preserve">C</t>
  </si>
  <si>
    <t xml:space="preserve">/web-development/sikkim</t>
  </si>
  <si>
    <t xml:space="preserve">Primary</t>
  </si>
  <si>
    <t xml:space="preserve">Your #1 ranking target. Beatable — current top sites are thin or out-of-state agencies.</t>
  </si>
  <si>
    <t xml:space="preserve">web development company in gangtok</t>
  </si>
  <si>
    <t xml:space="preserve">/web-development/gangtok</t>
  </si>
  <si>
    <t xml:space="preserve">Lowest competition of any commercial term you target. Should rank top 3 in 60 days.</t>
  </si>
  <si>
    <t xml:space="preserve">website development gangtok</t>
  </si>
  <si>
    <t xml:space="preserve">T</t>
  </si>
  <si>
    <t xml:space="preserve">Higher commercial intent than 'company in'. Use in title + H1 + first 100 words.</t>
  </si>
  <si>
    <t xml:space="preserve">website development sikkim</t>
  </si>
  <si>
    <t xml:space="preserve">Volume mostly Gangtok-originated; same page can satisfy.</t>
  </si>
  <si>
    <t xml:space="preserve">web designer gangtok</t>
  </si>
  <si>
    <t xml:space="preserve">Secondary</t>
  </si>
  <si>
    <t xml:space="preserve">Add a 'Web design + UI/UX in Gangtok' subsection.</t>
  </si>
  <si>
    <t xml:space="preserve">it company in sikkim</t>
  </si>
  <si>
    <t xml:space="preserve">/about</t>
  </si>
  <si>
    <t xml:space="preserve">Branded discovery. Optimize About page + LocalBusiness schema.</t>
  </si>
  <si>
    <t xml:space="preserve">app development sikkim</t>
  </si>
  <si>
    <t xml:space="preserve">/services/mobile-app-development</t>
  </si>
  <si>
    <t xml:space="preserve">Mobile app service page.</t>
  </si>
  <si>
    <t xml:space="preserve">mobile app development gangtok</t>
  </si>
  <si>
    <t xml:space="preserve">Cross-link from Gangtok location page.</t>
  </si>
  <si>
    <t xml:space="preserve">web development company in guwahati</t>
  </si>
  <si>
    <t xml:space="preserve">/web-development/guwahati</t>
  </si>
  <si>
    <t xml:space="preserve">Tougher market — needs 1500+ word page + 3+ Assam case studies + 2-3 quality backlinks.</t>
  </si>
  <si>
    <t xml:space="preserve">website development guwahati</t>
  </si>
  <si>
    <t xml:space="preserve">Highest-volume target in your geo. Worth the effort.</t>
  </si>
  <si>
    <t xml:space="preserve">web design company in guwahati</t>
  </si>
  <si>
    <t xml:space="preserve">Same page; add a 'Web Design Services in Guwahati' H2 section.</t>
  </si>
  <si>
    <t xml:space="preserve">software company in sikkim</t>
  </si>
  <si>
    <t xml:space="preserve">/services/software-development</t>
  </si>
  <si>
    <t xml:space="preserve">Service page; mention Sikkim in copy.</t>
  </si>
  <si>
    <t xml:space="preserve">ai automation sikkim</t>
  </si>
  <si>
    <t xml:space="preserve">/services/ai-automation</t>
  </si>
  <si>
    <t xml:space="preserve">Almost zero competition. Your strongest wedge per the SEO doc.</t>
  </si>
  <si>
    <t xml:space="preserve">ai automation northeast india</t>
  </si>
  <si>
    <t xml:space="preserve">Wider geo phrase. Easy to own.</t>
  </si>
  <si>
    <t xml:space="preserve">ai chatbot development india</t>
  </si>
  <si>
    <t xml:space="preserve">Long-tail</t>
  </si>
  <si>
    <t xml:space="preserve">National-level term; chase only via blog + service page combo.</t>
  </si>
  <si>
    <t xml:space="preserve">ecommerce website sikkim</t>
  </si>
  <si>
    <t xml:space="preserve">/services/web-development#ecommerce</t>
  </si>
  <si>
    <t xml:space="preserve">Tourism + organic produce sellers. Add an ecommerce vertical snippet.</t>
  </si>
  <si>
    <t xml:space="preserve">hotel website design sikkim</t>
  </si>
  <si>
    <t xml:space="preserve">/blog/hotel-website-design-sikkim</t>
  </si>
  <si>
    <t xml:space="preserve">Blog post target — high conversion, low competition.</t>
  </si>
  <si>
    <t xml:space="preserve">homestay website sikkim</t>
  </si>
  <si>
    <t xml:space="preserve">/blog/homestay-website-checklist</t>
  </si>
  <si>
    <t xml:space="preserve">Blog post target — strong commercial intent.</t>
  </si>
  <si>
    <t xml:space="preserve">web development shillong</t>
  </si>
  <si>
    <t xml:space="preserve">/web-development/shillong</t>
  </si>
  <si>
    <t xml:space="preserve">Shillong page is winnable — only 2-3 real competitors.</t>
  </si>
  <si>
    <t xml:space="preserve">web development meghalaya</t>
  </si>
  <si>
    <t xml:space="preserve">Same page; add state coverage in copy.</t>
  </si>
  <si>
    <t xml:space="preserve">web development siliguri</t>
  </si>
  <si>
    <t xml:space="preserve">/web-development/siliguri</t>
  </si>
  <si>
    <t xml:space="preserve">West Bengal but borders Sikkim. Real demand pool.</t>
  </si>
  <si>
    <t xml:space="preserve">website designer darjeeling</t>
  </si>
  <si>
    <t xml:space="preserve">/web-development/darjeeling</t>
  </si>
  <si>
    <t xml:space="preserve">Bordering market. Tourism overlap with Sikkim.</t>
  </si>
  <si>
    <t xml:space="preserve">website development cost in sikkim</t>
  </si>
  <si>
    <t xml:space="preserve">I</t>
  </si>
  <si>
    <t xml:space="preserve">/blog/website-cost-sikkim-2026</t>
  </si>
  <si>
    <t xml:space="preserve">High-converting blog post. Pricing transparency wins clients.</t>
  </si>
  <si>
    <t xml:space="preserve">best web development company in northeast india</t>
  </si>
  <si>
    <t xml:space="preserve">Brand authority play; optimize About + portfolio.</t>
  </si>
  <si>
    <t xml:space="preserve">web development imphal</t>
  </si>
  <si>
    <t xml:space="preserve">/web-development/imphal</t>
  </si>
  <si>
    <t xml:space="preserve">Manipur — limited competition.</t>
  </si>
  <si>
    <t xml:space="preserve">web development aizawl</t>
  </si>
  <si>
    <t xml:space="preserve">/web-development/aizawl</t>
  </si>
  <si>
    <t xml:space="preserve">Mizoram — almost no competition.</t>
  </si>
  <si>
    <t xml:space="preserve">web development itanagar</t>
  </si>
  <si>
    <t xml:space="preserve">/web-development/itanagar</t>
  </si>
  <si>
    <t xml:space="preserve">Arunachal — almost no competition.</t>
  </si>
  <si>
    <t xml:space="preserve">web development kohima</t>
  </si>
  <si>
    <t xml:space="preserve">/web-development/kohima</t>
  </si>
  <si>
    <t xml:space="preserve">Nagaland — limited competition.</t>
  </si>
  <si>
    <t xml:space="preserve">web development agartala</t>
  </si>
  <si>
    <t xml:space="preserve">/web-development/agartala</t>
  </si>
  <si>
    <t xml:space="preserve">Tripura — limited competition.</t>
  </si>
  <si>
    <t xml:space="preserve">ui ux design company sikkim</t>
  </si>
  <si>
    <t xml:space="preserve">/services/ui-ux-design</t>
  </si>
  <si>
    <t xml:space="preserve">Wedge: design quality differentiator.</t>
  </si>
  <si>
    <t xml:space="preserve">City</t>
  </si>
  <si>
    <t xml:space="preserve">State</t>
  </si>
  <si>
    <t xml:space="preserve">Primary keyword</t>
  </si>
  <si>
    <t xml:space="preserve">Secondary keywords (comma-separated)</t>
  </si>
  <si>
    <t xml:space="preserve">Long-tail / question keywords</t>
  </si>
  <si>
    <t xml:space="preserve">Est. monthly clicks if rank #1-3</t>
  </si>
  <si>
    <t xml:space="preserve">Gangtok</t>
  </si>
  <si>
    <t xml:space="preserve">Sikkim</t>
  </si>
  <si>
    <t xml:space="preserve">website development gangtok, web designer gangtok, app development gangtok, software company gangtok, it company gangtok, digital agency gangtok</t>
  </si>
  <si>
    <t xml:space="preserve">best web development company in gangtok, website cost in gangtok, hotel website design gangtok, restaurant website gangtok</t>
  </si>
  <si>
    <t xml:space="preserve">Sikkim (state)</t>
  </si>
  <si>
    <t xml:space="preserve">website development sikkim, web designer sikkim, software company sikkim, mobile app development sikkim, ai automation sikkim, it services sikkim</t>
  </si>
  <si>
    <t xml:space="preserve">web development cost in sikkim, ecommerce for sikkim organic products, government website sikkim, school website sikkim</t>
  </si>
  <si>
    <t xml:space="preserve">Guwahati</t>
  </si>
  <si>
    <t xml:space="preserve">Assam</t>
  </si>
  <si>
    <t xml:space="preserve">website development guwahati, web design company in guwahati, mobile app developer guwahati, software company assam, digital marketing guwahati</t>
  </si>
  <si>
    <t xml:space="preserve">best web development company in guwahati, website cost in assam, coaching centre website guwahati, ecommerce development assam</t>
  </si>
  <si>
    <t xml:space="preserve">Shillong</t>
  </si>
  <si>
    <t xml:space="preserve">Meghalaya</t>
  </si>
  <si>
    <t xml:space="preserve">web development company in shillong</t>
  </si>
  <si>
    <t xml:space="preserve">website development shillong, web designer meghalaya, app development shillong, software company shillong</t>
  </si>
  <si>
    <t xml:space="preserve">tourism website shillong, hotel website meghalaya, school website shillong</t>
  </si>
  <si>
    <t xml:space="preserve">Itanagar</t>
  </si>
  <si>
    <t xml:space="preserve">Arunachal Pradesh</t>
  </si>
  <si>
    <t xml:space="preserve">website development arunachal, web designer itanagar, app development arunachal</t>
  </si>
  <si>
    <t xml:space="preserve">government website arunachal, tourism website arunachal</t>
  </si>
  <si>
    <t xml:space="preserve">Imphal</t>
  </si>
  <si>
    <t xml:space="preserve">Manipur</t>
  </si>
  <si>
    <t xml:space="preserve">website development manipur, web designer imphal, app development manipur</t>
  </si>
  <si>
    <t xml:space="preserve">school website manipur, ecommerce manipur</t>
  </si>
  <si>
    <t xml:space="preserve">Aizawl</t>
  </si>
  <si>
    <t xml:space="preserve">Mizoram</t>
  </si>
  <si>
    <t xml:space="preserve">website development mizoram, web designer aizawl</t>
  </si>
  <si>
    <t xml:space="preserve">church website mizoram, school website aizawl</t>
  </si>
  <si>
    <t xml:space="preserve">Kohima</t>
  </si>
  <si>
    <t xml:space="preserve">Nagaland</t>
  </si>
  <si>
    <t xml:space="preserve">website development nagaland, web designer kohima, app development nagaland</t>
  </si>
  <si>
    <t xml:space="preserve">tourism website nagaland, hornbill festival website</t>
  </si>
  <si>
    <t xml:space="preserve">Agartala</t>
  </si>
  <si>
    <t xml:space="preserve">Tripura</t>
  </si>
  <si>
    <t xml:space="preserve">website development tripura, web designer agartala</t>
  </si>
  <si>
    <t xml:space="preserve">government website tripura, school website agartala</t>
  </si>
  <si>
    <t xml:space="preserve">Siliguri</t>
  </si>
  <si>
    <t xml:space="preserve">West Bengal</t>
  </si>
  <si>
    <t xml:space="preserve">website development siliguri, web designer siliguri, app developer siliguri, software company siliguri</t>
  </si>
  <si>
    <t xml:space="preserve">hotel website siliguri, ecommerce siliguri, tea estate website</t>
  </si>
  <si>
    <t xml:space="preserve">Darjeeling</t>
  </si>
  <si>
    <t xml:space="preserve">web development darjeeling, hotel website darjeeling, homestay website darjeeling</t>
  </si>
  <si>
    <t xml:space="preserve">tea garden website darjeeling, tourism website darjeeling, toy train website</t>
  </si>
  <si>
    <t xml:space="preserve">Service</t>
  </si>
  <si>
    <t xml:space="preserve">Secondary keywords</t>
  </si>
  <si>
    <t xml:space="preserve">Long-tail keywords</t>
  </si>
  <si>
    <t xml:space="preserve">Web Development</t>
  </si>
  <si>
    <t xml:space="preserve">web development services in sikkim</t>
  </si>
  <si>
    <t xml:space="preserve">custom website development, responsive website design, react website development, wordpress development sikkim</t>
  </si>
  <si>
    <t xml:space="preserve">website development cost in sikkim, how to choose a web developer in gangtok, react vs wordpress for indian small business</t>
  </si>
  <si>
    <t xml:space="preserve">/services/web-development</t>
  </si>
  <si>
    <t xml:space="preserve">Mobile App Development</t>
  </si>
  <si>
    <t xml:space="preserve">mobile app development company in sikkim</t>
  </si>
  <si>
    <t xml:space="preserve">android app development, ios app development, react native development, flutter app development india</t>
  </si>
  <si>
    <t xml:space="preserve">mobile app development cost in india, how to build a hotel booking app, app for sikkim tourism business</t>
  </si>
  <si>
    <t xml:space="preserve">AI Automation</t>
  </si>
  <si>
    <t xml:space="preserve">ai automation services india</t>
  </si>
  <si>
    <t xml:space="preserve">ai chatbot development, business process automation, ai agents for service businesses, llm integration india</t>
  </si>
  <si>
    <t xml:space="preserve">how ai is transforming small businesses in northeast india, ai chatbot for hotels and homestays, automating customer support with ai</t>
  </si>
  <si>
    <t xml:space="preserve">UI / UX Design</t>
  </si>
  <si>
    <t xml:space="preserve">product design india, mobile app design sikkim, design system development, figma design services</t>
  </si>
  <si>
    <t xml:space="preserve">ui ux design cost in india, what makes a great hotel website design, design audit checklist</t>
  </si>
  <si>
    <t xml:space="preserve">Custom Software Development</t>
  </si>
  <si>
    <t xml:space="preserve">custom software development sikkim</t>
  </si>
  <si>
    <t xml:space="preserve">saas development india, enterprise software sikkim, erp development, crm development india</t>
  </si>
  <si>
    <t xml:space="preserve">custom software vs off-the-shelf for indian smbs, building an internal tool for a hotel, saas pricing for indian market</t>
  </si>
  <si>
    <t xml:space="preserve">Ecommerce Development</t>
  </si>
  <si>
    <t xml:space="preserve">ecommerce website development india</t>
  </si>
  <si>
    <t xml:space="preserve">shopify development india, woocommerce sikkim, custom ecommerce platform, multi-vendor marketplace development</t>
  </si>
  <si>
    <t xml:space="preserve">how to start ecommerce in sikkim, selling sikkimese organic products online, payment gateways for indian ecommerce</t>
  </si>
  <si>
    <t xml:space="preserve">Question / Long-tail keyword</t>
  </si>
  <si>
    <t xml:space="preserve">Search intent</t>
  </si>
  <si>
    <t xml:space="preserve">Target blog post</t>
  </si>
  <si>
    <t xml:space="preserve">Phase 4 priority</t>
  </si>
  <si>
    <t xml:space="preserve">how much does it cost to build a website in sikkim</t>
  </si>
  <si>
    <t xml:space="preserve">How Much Does It Cost to Build a Website in Sikkim in 2026?</t>
  </si>
  <si>
    <t xml:space="preserve">P0</t>
  </si>
  <si>
    <t xml:space="preserve">best web development company in gangtok</t>
  </si>
  <si>
    <t xml:space="preserve">How to Choose a Web Development Company in Gangtok (Red Flags + Green Flags)</t>
  </si>
  <si>
    <t xml:space="preserve">Best Hotel Website Designs in Sikkim — and What Makes Them Work</t>
  </si>
  <si>
    <t xml:space="preserve">homestay website checklist</t>
  </si>
  <si>
    <t xml:space="preserve">Homestay Website Checklist: What Every Sikkim Homestay Owner Needs</t>
  </si>
  <si>
    <t xml:space="preserve">P1</t>
  </si>
  <si>
    <t xml:space="preserve">tourism website development sikkim</t>
  </si>
  <si>
    <t xml:space="preserve">Tourism Website Development in Sikkim: A Complete Guide</t>
  </si>
  <si>
    <t xml:space="preserve">local seo for sikkim businesses</t>
  </si>
  <si>
    <t xml:space="preserve">Local SEO for Sikkim Businesses: Rank in Gangtok in 90 Days</t>
  </si>
  <si>
    <t xml:space="preserve">wordpress vs custom website</t>
  </si>
  <si>
    <t xml:space="preserve">WordPress vs Custom Website: Which Is Right for a Sikkim Business?</t>
  </si>
  <si>
    <t xml:space="preserve">how to sell organic sikkim products online</t>
  </si>
  <si>
    <t xml:space="preserve">E-commerce in Sikkim: How to Sell Sikkimese Products Online</t>
  </si>
  <si>
    <t xml:space="preserve">government website requirements india</t>
  </si>
  <si>
    <t xml:space="preserve">Government &amp; NGO Website Requirements in Sikkim (Compliance Checklist)</t>
  </si>
  <si>
    <t xml:space="preserve">P2</t>
  </si>
  <si>
    <t xml:space="preserve">ai for small business northeast india</t>
  </si>
  <si>
    <t xml:space="preserve">How AI is Transforming Small Businesses in Northeast India</t>
  </si>
  <si>
    <t xml:space="preserve">mobile app development cost india</t>
  </si>
  <si>
    <t xml:space="preserve">Mobile App Development Cost in Sikkim &amp; Northeast India</t>
  </si>
  <si>
    <t xml:space="preserve">school website development sikkim</t>
  </si>
  <si>
    <t xml:space="preserve">Web Development for Schools and Colleges in Sikkim</t>
  </si>
  <si>
    <t xml:space="preserve">trekking website design</t>
  </si>
  <si>
    <t xml:space="preserve">Best Practices for Trekking &amp; Adventure Tour Websites in Sikkim</t>
  </si>
  <si>
    <t xml:space="preserve">online ordering for restaurants</t>
  </si>
  <si>
    <t xml:space="preserve">Why Your Restaurant in Gangtok Needs Online Ordering (and How to Add It)</t>
  </si>
  <si>
    <t xml:space="preserve">northeast india tech industry report</t>
  </si>
  <si>
    <t xml:space="preserve">The State of Tech in Northeast India: 2026 Report</t>
  </si>
  <si>
    <t xml:space="preserve">free tools for small business india</t>
  </si>
  <si>
    <t xml:space="preserve">Free Tools Every Sikkim Small Business Owner Should Use</t>
  </si>
  <si>
    <t xml:space="preserve">web development guwahati vs gangtok</t>
  </si>
  <si>
    <t xml:space="preserve">Web Development in Guwahati vs Gangtok: Pros and Cons</t>
  </si>
  <si>
    <t xml:space="preserve">cloud kitchen website setup</t>
  </si>
  <si>
    <t xml:space="preserve">Cloud Kitchen Website Setup Guide for Northeast India</t>
  </si>
  <si>
    <t xml:space="preserve">bilingual website english nepali</t>
  </si>
  <si>
    <t xml:space="preserve">Building a Bilingual Website (English + Nepali / English + Assamese)</t>
  </si>
  <si>
    <t xml:space="preserve">cybersecurity for small business india</t>
  </si>
  <si>
    <t xml:space="preserve">Cybersecurity Basics for Sikkim Business Owners</t>
  </si>
  <si>
    <t xml:space="preserve">how to get on google maps india</t>
  </si>
  <si>
    <t xml:space="preserve">How to Get Your Sikkim Business on Google Maps (Step-by-Step)</t>
  </si>
  <si>
    <t xml:space="preserve">ai chatbot for hotels</t>
  </si>
  <si>
    <t xml:space="preserve">AI Chatbots for Hotels &amp; Homestays in Sikkim</t>
  </si>
  <si>
    <t xml:space="preserve">web hosting india for ne business</t>
  </si>
  <si>
    <t xml:space="preserve">Web Hosting Options in India for Northeast Businesses</t>
  </si>
  <si>
    <t xml:space="preserve">northeast india digital report 2026</t>
  </si>
  <si>
    <t xml:space="preserve">Year in Review: Northeast Indias Digital Transformation in 2026</t>
  </si>
  <si>
    <t xml:space="preserve">responsive website cost india</t>
  </si>
  <si>
    <t xml:space="preserve">Why Mobile-First Web Design Matters for Northeast India Businesses</t>
  </si>
  <si>
    <t xml:space="preserve">darjeeling tea website design</t>
  </si>
  <si>
    <t xml:space="preserve">Building a Website for a Darjeeling Tea Estate or Boutique Brand</t>
  </si>
  <si>
    <t xml:space="preserve">Page type</t>
  </si>
  <si>
    <t xml:space="preserve">Title tag (≤60 chars)</t>
  </si>
  <si>
    <t xml:space="preserve">Meta description (140-160 chars)</t>
  </si>
  <si>
    <t xml:space="preserve">H1</t>
  </si>
  <si>
    <t xml:space="preserve">Word count target</t>
  </si>
  <si>
    <t xml:space="preserve">/</t>
  </si>
  <si>
    <t xml:space="preserve">Home</t>
  </si>
  <si>
    <t xml:space="preserve">Web &amp; App Development Company in Sikkim &amp; Northeast India | Tech Waglogy</t>
  </si>
  <si>
    <t xml:space="preserve">Tech Waglogy LLP builds websites, mobile apps, and AI automation for businesses across Sikkim, Assam, and Northeast India. Based in Gangtok. Get a quote.</t>
  </si>
  <si>
    <t xml:space="preserve">Web &amp; App Development Company in Sikkim &amp; Northeast India</t>
  </si>
  <si>
    <t xml:space="preserve">1200-1500</t>
  </si>
  <si>
    <t xml:space="preserve">Location</t>
  </si>
  <si>
    <t xml:space="preserve">Web Development Company in Gangtok, Sikkim | Tech Waglogy</t>
  </si>
  <si>
    <t xml:space="preserve">Tech Waglogy is a web development company in Gangtok, Sikkim. Websites, apps &amp; AI for hotels, schools, tour operators. Local team. Fixed pricing.</t>
  </si>
  <si>
    <t xml:space="preserve">Web Development Company in Gangtok</t>
  </si>
  <si>
    <t xml:space="preserve">1000-1500</t>
  </si>
  <si>
    <t xml:space="preserve">Web Development Company in Sikkim | Tech Waglogy LLP</t>
  </si>
  <si>
    <t xml:space="preserve">Sikkims trusted web and app development company. We serve businesses across all four districts — Gangtok, Namchi, Mangan, Gyalshing. Free consultation.</t>
  </si>
  <si>
    <t xml:space="preserve">Web Development Company in Sikkim</t>
  </si>
  <si>
    <t xml:space="preserve">Web Development Company in Guwahati, Assam | Tech Waglogy</t>
  </si>
  <si>
    <t xml:space="preserve">Web and app development company serving Guwahati and Assam. Websites for coaching centres, hospitals, retail. Remote-friendly, fixed pricing.</t>
  </si>
  <si>
    <t xml:space="preserve">Web Development Company in Guwahati</t>
  </si>
  <si>
    <t xml:space="preserve">Web Development Company in Shillong, Meghalaya | Tech Waglogy</t>
  </si>
  <si>
    <t xml:space="preserve">Tech Waglogy builds websites and apps for Shillong businesses — tourism, education, hospitality. Northeast India experts. Fixed quotes, real support.</t>
  </si>
  <si>
    <t xml:space="preserve">Web Development Company in Shillong</t>
  </si>
  <si>
    <t xml:space="preserve">900-1200</t>
  </si>
  <si>
    <t xml:space="preserve">Web Development Services | React, WordPress, Custom | Waglogy</t>
  </si>
  <si>
    <t xml:space="preserve">Custom web development for Indian businesses. React, Next.js, WordPress. Fixed-price quotes, transparent process, real post-launch support. Get started.</t>
  </si>
  <si>
    <t xml:space="preserve">Web Development Services</t>
  </si>
  <si>
    <t xml:space="preserve">1200-1800</t>
  </si>
  <si>
    <t xml:space="preserve">Mobile App Development Company | iOS, Android | Waglogy</t>
  </si>
  <si>
    <t xml:space="preserve">Mobile app development for hotels, retail, services. React Native and Flutter. Built in Sikkim, served across India. Get a fixed quote in 48 hours.</t>
  </si>
  <si>
    <t xml:space="preserve">AI Automation &amp; Chatbot Development | Waglogy</t>
  </si>
  <si>
    <t xml:space="preserve">AI chatbots, agents, and workflow automation for service businesses. LLM integration, custom AI tools, no-code automation setup. Northeast Indias AI team.</t>
  </si>
  <si>
    <t xml:space="preserve">AI Automation Services</t>
  </si>
  <si>
    <t xml:space="preserve">UI/UX Design Company in Sikkim | Product Design | Waglogy</t>
  </si>
  <si>
    <t xml:space="preserve">Practical UI/UX design for Indian SaaS, ecommerce, and service businesses. Figma-first workflow. From wireframe to launch-ready design system.</t>
  </si>
  <si>
    <t xml:space="preserve">UI/UX Design Services</t>
  </si>
  <si>
    <t xml:space="preserve">Custom Software Development Company | Waglogy India</t>
  </si>
  <si>
    <t xml:space="preserve">Custom SaaS, ERP, and CRM development for growing Indian businesses. Built to your workflow. Fixed scope, fixed price, post-launch maintenance included.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</si>
  <si>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</si>
  <si>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</si>
  <si>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</si>
  <si>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</si>
  <si>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</si>
  <si>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</si>
  <si>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Best rank</t>
  </si>
  <si>
    <t xml:space="preserve">Trend (↑/↓/→)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</si>
</sst>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5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35.05" hidden="false" customHeight="false" outlineLevel="0" collapsed="false">
      <c r="A14" s="5" t="s">
        <v>17</v>
      </c>
      <c r="B14" s="4" t="s">
        <v>18</v>
      </c>
    </row>
    <row r="15" customFormat="false" ht="23.85" hidden="false" customHeight="false" outlineLevel="0" collapsed="false">
      <c r="A15" s="3" t="s">
        <v>19</v>
      </c>
      <c r="B15" s="4" t="s">
        <v>20</v>
      </c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15" hidden="false" customHeight="false" outlineLevel="0" collapsed="false">
      <c r="A18" s="3" t="s">
        <v>25</v>
      </c>
      <c r="B18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19</v>
      </c>
      <c r="E1" s="6" t="s">
        <v>21</v>
      </c>
      <c r="F1" s="6" t="s">
        <v>30</v>
      </c>
      <c r="G1" s="6" t="s">
        <v>31</v>
      </c>
      <c r="H1" s="6" t="s">
        <v>32</v>
      </c>
      <c r="I1" s="6" t="s">
        <v>23</v>
      </c>
    </row>
    <row r="2" customFormat="false" ht="23.85" hidden="false" customHeight="false" outlineLevel="0" collapsed="false">
      <c r="A2" s="7" t="n">
        <v>1</v>
      </c>
      <c r="B2" s="7" t="s">
        <v>33</v>
      </c>
      <c r="C2" s="7" t="n">
        <v>110</v>
      </c>
      <c r="D2" s="7" t="n">
        <v>22</v>
      </c>
      <c r="E2" s="7" t="s">
        <v>34</v>
      </c>
      <c r="F2" s="7" t="s">
        <v>35</v>
      </c>
      <c r="G2" s="8" t="s">
        <v>36</v>
      </c>
      <c r="H2" s="7" t="s">
        <v>37</v>
      </c>
      <c r="I2" s="7" t="n">
        <f aca="false">ROUND(IF(E2="T",1.4,IF(E2="C",1.2,IF(E2="N",1,0.8)))*(100-D2)/10 + LOG10(C2+1), 1)</f>
        <v>11.4</v>
      </c>
    </row>
    <row r="3" customFormat="false" ht="23.85" hidden="false" customHeight="false" outlineLevel="0" collapsed="false">
      <c r="A3" s="7" t="n">
        <v>2</v>
      </c>
      <c r="B3" s="7" t="s">
        <v>38</v>
      </c>
      <c r="C3" s="7" t="n">
        <v>90</v>
      </c>
      <c r="D3" s="7" t="n">
        <v>18</v>
      </c>
      <c r="E3" s="7" t="s">
        <v>34</v>
      </c>
      <c r="F3" s="7" t="s">
        <v>39</v>
      </c>
      <c r="G3" s="8" t="s">
        <v>36</v>
      </c>
      <c r="H3" s="7" t="s">
        <v>40</v>
      </c>
      <c r="I3" s="7" t="n">
        <f aca="false">ROUND(IF(E3="T",1.4,IF(E3="C",1.2,IF(E3="N",1,0.8)))*(100-D3)/10 + LOG10(C3+1), 1)</f>
        <v>11.8</v>
      </c>
    </row>
    <row r="4" customFormat="false" ht="23.85" hidden="false" customHeight="false" outlineLevel="0" collapsed="false">
      <c r="A4" s="7" t="n">
        <v>3</v>
      </c>
      <c r="B4" s="7" t="s">
        <v>41</v>
      </c>
      <c r="C4" s="7" t="n">
        <v>170</v>
      </c>
      <c r="D4" s="7" t="n">
        <v>24</v>
      </c>
      <c r="E4" s="7" t="s">
        <v>42</v>
      </c>
      <c r="F4" s="7" t="s">
        <v>39</v>
      </c>
      <c r="G4" s="8" t="s">
        <v>36</v>
      </c>
      <c r="H4" s="7" t="s">
        <v>43</v>
      </c>
      <c r="I4" s="7" t="n">
        <f aca="false">ROUND(IF(E4="T",1.4,IF(E4="C",1.2,IF(E4="N",1,0.8)))*(100-D4)/10 + LOG10(C4+1), 1)</f>
        <v>12.9</v>
      </c>
    </row>
    <row r="5" customFormat="false" ht="15" hidden="false" customHeight="false" outlineLevel="0" collapsed="false">
      <c r="A5" s="7" t="n">
        <v>4</v>
      </c>
      <c r="B5" s="7" t="s">
        <v>44</v>
      </c>
      <c r="C5" s="7" t="n">
        <v>210</v>
      </c>
      <c r="D5" s="7" t="n">
        <v>28</v>
      </c>
      <c r="E5" s="7" t="s">
        <v>42</v>
      </c>
      <c r="F5" s="7" t="s">
        <v>35</v>
      </c>
      <c r="G5" s="8" t="s">
        <v>36</v>
      </c>
      <c r="H5" s="7" t="s">
        <v>45</v>
      </c>
      <c r="I5" s="7" t="n">
        <f aca="false">ROUND(IF(E5="T",1.4,IF(E5="C",1.2,IF(E5="N",1,0.8)))*(100-D5)/10 + LOG10(C5+1), 1)</f>
        <v>12.4</v>
      </c>
    </row>
    <row r="6" customFormat="false" ht="15" hidden="false" customHeight="false" outlineLevel="0" collapsed="false">
      <c r="A6" s="7" t="n">
        <v>5</v>
      </c>
      <c r="B6" s="7" t="s">
        <v>46</v>
      </c>
      <c r="C6" s="7" t="n">
        <v>70</v>
      </c>
      <c r="D6" s="7" t="n">
        <v>16</v>
      </c>
      <c r="E6" s="7" t="s">
        <v>42</v>
      </c>
      <c r="F6" s="7" t="s">
        <v>39</v>
      </c>
      <c r="G6" s="9" t="s">
        <v>47</v>
      </c>
      <c r="H6" s="7" t="s">
        <v>48</v>
      </c>
      <c r="I6" s="7" t="n">
        <f aca="false">ROUND(IF(E6="T",1.4,IF(E6="C",1.2,IF(E6="N",1,0.8)))*(100-D6)/10 + LOG10(C6+1), 1)</f>
        <v>13.6</v>
      </c>
    </row>
    <row r="7" customFormat="false" ht="23.85" hidden="false" customHeight="false" outlineLevel="0" collapsed="false">
      <c r="A7" s="7" t="n">
        <v>6</v>
      </c>
      <c r="B7" s="7" t="s">
        <v>49</v>
      </c>
      <c r="C7" s="7" t="n">
        <v>140</v>
      </c>
      <c r="D7" s="7" t="n">
        <v>30</v>
      </c>
      <c r="E7" s="7" t="s">
        <v>34</v>
      </c>
      <c r="F7" s="7" t="s">
        <v>50</v>
      </c>
      <c r="G7" s="9" t="s">
        <v>47</v>
      </c>
      <c r="H7" s="7" t="s">
        <v>51</v>
      </c>
      <c r="I7" s="7" t="n">
        <f aca="false">ROUND(IF(E7="T",1.4,IF(E7="C",1.2,IF(E7="N",1,0.8)))*(100-D7)/10 + LOG10(C7+1), 1)</f>
        <v>10.5</v>
      </c>
    </row>
    <row r="8" customFormat="false" ht="15" hidden="false" customHeight="false" outlineLevel="0" collapsed="false">
      <c r="A8" s="7" t="n">
        <v>7</v>
      </c>
      <c r="B8" s="7" t="s">
        <v>52</v>
      </c>
      <c r="C8" s="7" t="n">
        <v>90</v>
      </c>
      <c r="D8" s="7" t="n">
        <v>26</v>
      </c>
      <c r="E8" s="7" t="s">
        <v>42</v>
      </c>
      <c r="F8" s="7" t="s">
        <v>53</v>
      </c>
      <c r="G8" s="8" t="s">
        <v>36</v>
      </c>
      <c r="H8" s="7" t="s">
        <v>54</v>
      </c>
      <c r="I8" s="7" t="n">
        <f aca="false">ROUND(IF(E8="T",1.4,IF(E8="C",1.2,IF(E8="N",1,0.8)))*(100-D8)/10 + LOG10(C8+1), 1)</f>
        <v>12.3</v>
      </c>
    </row>
    <row r="9" customFormat="false" ht="15" hidden="false" customHeight="false" outlineLevel="0" collapsed="false">
      <c r="A9" s="7" t="n">
        <v>8</v>
      </c>
      <c r="B9" s="7" t="s">
        <v>55</v>
      </c>
      <c r="C9" s="7" t="n">
        <v>50</v>
      </c>
      <c r="D9" s="7" t="n">
        <v>20</v>
      </c>
      <c r="E9" s="7" t="s">
        <v>42</v>
      </c>
      <c r="F9" s="7" t="s">
        <v>53</v>
      </c>
      <c r="G9" s="9" t="s">
        <v>47</v>
      </c>
      <c r="H9" s="7" t="s">
        <v>56</v>
      </c>
      <c r="I9" s="7" t="n">
        <f aca="false">ROUND(IF(E9="T",1.4,IF(E9="C",1.2,IF(E9="N",1,0.8)))*(100-D9)/10 + LOG10(C9+1), 1)</f>
        <v>12.9</v>
      </c>
    </row>
    <row r="10" customFormat="false" ht="23.85" hidden="false" customHeight="false" outlineLevel="0" collapsed="false">
      <c r="A10" s="7" t="n">
        <v>9</v>
      </c>
      <c r="B10" s="7" t="s">
        <v>57</v>
      </c>
      <c r="C10" s="7" t="n">
        <v>320</v>
      </c>
      <c r="D10" s="7" t="n">
        <v>42</v>
      </c>
      <c r="E10" s="7" t="s">
        <v>34</v>
      </c>
      <c r="F10" s="7" t="s">
        <v>58</v>
      </c>
      <c r="G10" s="8" t="s">
        <v>36</v>
      </c>
      <c r="H10" s="7" t="s">
        <v>59</v>
      </c>
      <c r="I10" s="7" t="n">
        <f aca="false">ROUND(IF(E10="T",1.4,IF(E10="C",1.2,IF(E10="N",1,0.8)))*(100-D10)/10 + LOG10(C10+1), 1)</f>
        <v>9.5</v>
      </c>
    </row>
    <row r="11" customFormat="false" ht="15" hidden="false" customHeight="false" outlineLevel="0" collapsed="false">
      <c r="A11" s="7" t="n">
        <v>10</v>
      </c>
      <c r="B11" s="7" t="s">
        <v>60</v>
      </c>
      <c r="C11" s="7" t="n">
        <v>480</v>
      </c>
      <c r="D11" s="7" t="n">
        <v>45</v>
      </c>
      <c r="E11" s="7" t="s">
        <v>42</v>
      </c>
      <c r="F11" s="7" t="s">
        <v>58</v>
      </c>
      <c r="G11" s="8" t="s">
        <v>36</v>
      </c>
      <c r="H11" s="7" t="s">
        <v>61</v>
      </c>
      <c r="I11" s="7" t="n">
        <f aca="false">ROUND(IF(E11="T",1.4,IF(E11="C",1.2,IF(E11="N",1,0.8)))*(100-D11)/10 + LOG10(C11+1), 1)</f>
        <v>10.4</v>
      </c>
    </row>
    <row r="12" customFormat="false" ht="23.85" hidden="false" customHeight="false" outlineLevel="0" collapsed="false">
      <c r="A12" s="7" t="n">
        <v>11</v>
      </c>
      <c r="B12" s="7" t="s">
        <v>62</v>
      </c>
      <c r="C12" s="7" t="n">
        <v>170</v>
      </c>
      <c r="D12" s="7" t="n">
        <v>38</v>
      </c>
      <c r="E12" s="7" t="s">
        <v>34</v>
      </c>
      <c r="F12" s="7" t="s">
        <v>58</v>
      </c>
      <c r="G12" s="9" t="s">
        <v>47</v>
      </c>
      <c r="H12" s="7" t="s">
        <v>63</v>
      </c>
      <c r="I12" s="7" t="n">
        <f aca="false">ROUND(IF(E12="T",1.4,IF(E12="C",1.2,IF(E12="N",1,0.8)))*(100-D12)/10 + LOG10(C12+1), 1)</f>
        <v>9.7</v>
      </c>
    </row>
    <row r="13" customFormat="false" ht="15" hidden="false" customHeight="false" outlineLevel="0" collapsed="false">
      <c r="A13" s="7" t="n">
        <v>12</v>
      </c>
      <c r="B13" s="7" t="s">
        <v>64</v>
      </c>
      <c r="C13" s="7" t="n">
        <v>90</v>
      </c>
      <c r="D13" s="7" t="n">
        <v>28</v>
      </c>
      <c r="E13" s="7" t="s">
        <v>34</v>
      </c>
      <c r="F13" s="7" t="s">
        <v>65</v>
      </c>
      <c r="G13" s="9" t="s">
        <v>47</v>
      </c>
      <c r="H13" s="7" t="s">
        <v>66</v>
      </c>
      <c r="I13" s="7" t="n">
        <f aca="false">ROUND(IF(E13="T",1.4,IF(E13="C",1.2,IF(E13="N",1,0.8)))*(100-D13)/10 + LOG10(C13+1), 1)</f>
        <v>10.6</v>
      </c>
    </row>
    <row r="14" customFormat="false" ht="23.85" hidden="false" customHeight="false" outlineLevel="0" collapsed="false">
      <c r="A14" s="7" t="n">
        <v>13</v>
      </c>
      <c r="B14" s="7" t="s">
        <v>67</v>
      </c>
      <c r="C14" s="7" t="n">
        <v>20</v>
      </c>
      <c r="D14" s="7" t="n">
        <v>12</v>
      </c>
      <c r="E14" s="7" t="s">
        <v>34</v>
      </c>
      <c r="F14" s="7" t="s">
        <v>68</v>
      </c>
      <c r="G14" s="8" t="s">
        <v>36</v>
      </c>
      <c r="H14" s="7" t="s">
        <v>69</v>
      </c>
      <c r="I14" s="7" t="n">
        <f aca="false">ROUND(IF(E14="T",1.4,IF(E14="C",1.2,IF(E14="N",1,0.8)))*(100-D14)/10 + LOG10(C14+1), 1)</f>
        <v>11.9</v>
      </c>
    </row>
    <row r="15" customFormat="false" ht="15" hidden="false" customHeight="false" outlineLevel="0" collapsed="false">
      <c r="A15" s="7" t="n">
        <v>14</v>
      </c>
      <c r="B15" s="7" t="s">
        <v>70</v>
      </c>
      <c r="C15" s="7" t="n">
        <v>10</v>
      </c>
      <c r="D15" s="7" t="n">
        <v>10</v>
      </c>
      <c r="E15" s="7" t="s">
        <v>34</v>
      </c>
      <c r="F15" s="7" t="s">
        <v>68</v>
      </c>
      <c r="G15" s="9" t="s">
        <v>47</v>
      </c>
      <c r="H15" s="7" t="s">
        <v>71</v>
      </c>
      <c r="I15" s="7" t="n">
        <f aca="false">ROUND(IF(E15="T",1.4,IF(E15="C",1.2,IF(E15="N",1,0.8)))*(100-D15)/10 + LOG10(C15+1), 1)</f>
        <v>11.8</v>
      </c>
    </row>
    <row r="16" customFormat="false" ht="23.85" hidden="false" customHeight="false" outlineLevel="0" collapsed="false">
      <c r="A16" s="7" t="n">
        <v>15</v>
      </c>
      <c r="B16" s="7" t="s">
        <v>72</v>
      </c>
      <c r="C16" s="7" t="n">
        <v>590</v>
      </c>
      <c r="D16" s="7" t="n">
        <v>48</v>
      </c>
      <c r="E16" s="7" t="s">
        <v>42</v>
      </c>
      <c r="F16" s="7" t="s">
        <v>68</v>
      </c>
      <c r="G16" s="7" t="s">
        <v>73</v>
      </c>
      <c r="H16" s="7" t="s">
        <v>74</v>
      </c>
      <c r="I16" s="7" t="n">
        <f aca="false">ROUND(IF(E16="T",1.4,IF(E16="C",1.2,IF(E16="N",1,0.8)))*(100-D16)/10 + LOG10(C16+1), 1)</f>
        <v>10.1</v>
      </c>
    </row>
    <row r="17" customFormat="false" ht="23.85" hidden="false" customHeight="false" outlineLevel="0" collapsed="false">
      <c r="A17" s="7" t="n">
        <v>16</v>
      </c>
      <c r="B17" s="7" t="s">
        <v>75</v>
      </c>
      <c r="C17" s="7" t="n">
        <v>40</v>
      </c>
      <c r="D17" s="7" t="n">
        <v>16</v>
      </c>
      <c r="E17" s="7" t="s">
        <v>42</v>
      </c>
      <c r="F17" s="7" t="s">
        <v>76</v>
      </c>
      <c r="G17" s="9" t="s">
        <v>47</v>
      </c>
      <c r="H17" s="7" t="s">
        <v>77</v>
      </c>
      <c r="I17" s="7" t="n">
        <f aca="false">ROUND(IF(E17="T",1.4,IF(E17="C",1.2,IF(E17="N",1,0.8)))*(100-D17)/10 + LOG10(C17+1), 1)</f>
        <v>13.4</v>
      </c>
    </row>
    <row r="18" customFormat="false" ht="15" hidden="false" customHeight="false" outlineLevel="0" collapsed="false">
      <c r="A18" s="7" t="n">
        <v>17</v>
      </c>
      <c r="B18" s="7" t="s">
        <v>78</v>
      </c>
      <c r="C18" s="7" t="n">
        <v>30</v>
      </c>
      <c r="D18" s="7" t="n">
        <v>14</v>
      </c>
      <c r="E18" s="7" t="s">
        <v>42</v>
      </c>
      <c r="F18" s="7" t="s">
        <v>79</v>
      </c>
      <c r="G18" s="7" t="s">
        <v>73</v>
      </c>
      <c r="H18" s="7" t="s">
        <v>80</v>
      </c>
      <c r="I18" s="7" t="n">
        <f aca="false">ROUND(IF(E18="T",1.4,IF(E18="C",1.2,IF(E18="N",1,0.8)))*(100-D18)/10 + LOG10(C18+1), 1)</f>
        <v>13.5</v>
      </c>
    </row>
    <row r="19" customFormat="false" ht="15" hidden="false" customHeight="false" outlineLevel="0" collapsed="false">
      <c r="A19" s="7" t="n">
        <v>18</v>
      </c>
      <c r="B19" s="7" t="s">
        <v>81</v>
      </c>
      <c r="C19" s="7" t="n">
        <v>20</v>
      </c>
      <c r="D19" s="7" t="n">
        <v>10</v>
      </c>
      <c r="E19" s="7" t="s">
        <v>42</v>
      </c>
      <c r="F19" s="7" t="s">
        <v>82</v>
      </c>
      <c r="G19" s="7" t="s">
        <v>73</v>
      </c>
      <c r="H19" s="7" t="s">
        <v>83</v>
      </c>
      <c r="I19" s="7" t="n">
        <f aca="false">ROUND(IF(E19="T",1.4,IF(E19="C",1.2,IF(E19="N",1,0.8)))*(100-D19)/10 + LOG10(C19+1), 1)</f>
        <v>13.9</v>
      </c>
    </row>
    <row r="20" customFormat="false" ht="15" hidden="false" customHeight="false" outlineLevel="0" collapsed="false">
      <c r="A20" s="7" t="n">
        <v>19</v>
      </c>
      <c r="B20" s="7" t="s">
        <v>84</v>
      </c>
      <c r="C20" s="7" t="n">
        <v>70</v>
      </c>
      <c r="D20" s="7" t="n">
        <v>22</v>
      </c>
      <c r="E20" s="7" t="s">
        <v>42</v>
      </c>
      <c r="F20" s="7" t="s">
        <v>85</v>
      </c>
      <c r="G20" s="8" t="s">
        <v>36</v>
      </c>
      <c r="H20" s="7" t="s">
        <v>86</v>
      </c>
      <c r="I20" s="7" t="n">
        <f aca="false">ROUND(IF(E20="T",1.4,IF(E20="C",1.2,IF(E20="N",1,0.8)))*(100-D20)/10 + LOG10(C20+1), 1)</f>
        <v>12.8</v>
      </c>
    </row>
    <row r="21" customFormat="false" ht="15" hidden="false" customHeight="false" outlineLevel="0" collapsed="false">
      <c r="A21" s="7" t="n">
        <v>20</v>
      </c>
      <c r="B21" s="7" t="s">
        <v>87</v>
      </c>
      <c r="C21" s="7" t="n">
        <v>30</v>
      </c>
      <c r="D21" s="7" t="n">
        <v>18</v>
      </c>
      <c r="E21" s="7" t="s">
        <v>42</v>
      </c>
      <c r="F21" s="7" t="s">
        <v>85</v>
      </c>
      <c r="G21" s="9" t="s">
        <v>47</v>
      </c>
      <c r="H21" s="7" t="s">
        <v>88</v>
      </c>
      <c r="I21" s="7" t="n">
        <f aca="false">ROUND(IF(E21="T",1.4,IF(E21="C",1.2,IF(E21="N",1,0.8)))*(100-D21)/10 + LOG10(C21+1), 1)</f>
        <v>13</v>
      </c>
    </row>
    <row r="22" customFormat="false" ht="15" hidden="false" customHeight="false" outlineLevel="0" collapsed="false">
      <c r="A22" s="7" t="n">
        <v>21</v>
      </c>
      <c r="B22" s="7" t="s">
        <v>89</v>
      </c>
      <c r="C22" s="7" t="n">
        <v>210</v>
      </c>
      <c r="D22" s="7" t="n">
        <v>36</v>
      </c>
      <c r="E22" s="7" t="s">
        <v>42</v>
      </c>
      <c r="F22" s="7" t="s">
        <v>90</v>
      </c>
      <c r="G22" s="8" t="s">
        <v>36</v>
      </c>
      <c r="H22" s="7" t="s">
        <v>91</v>
      </c>
      <c r="I22" s="7" t="n">
        <f aca="false">ROUND(IF(E22="T",1.4,IF(E22="C",1.2,IF(E22="N",1,0.8)))*(100-D22)/10 + LOG10(C22+1), 1)</f>
        <v>11.3</v>
      </c>
    </row>
    <row r="23" customFormat="false" ht="15" hidden="false" customHeight="false" outlineLevel="0" collapsed="false">
      <c r="A23" s="7" t="n">
        <v>22</v>
      </c>
      <c r="B23" s="7" t="s">
        <v>92</v>
      </c>
      <c r="C23" s="7" t="n">
        <v>50</v>
      </c>
      <c r="D23" s="7" t="n">
        <v>20</v>
      </c>
      <c r="E23" s="7" t="s">
        <v>42</v>
      </c>
      <c r="F23" s="7" t="s">
        <v>93</v>
      </c>
      <c r="G23" s="8" t="s">
        <v>36</v>
      </c>
      <c r="H23" s="7" t="s">
        <v>94</v>
      </c>
      <c r="I23" s="7" t="n">
        <f aca="false">ROUND(IF(E23="T",1.4,IF(E23="C",1.2,IF(E23="N",1,0.8)))*(100-D23)/10 + LOG10(C23+1), 1)</f>
        <v>12.9</v>
      </c>
    </row>
    <row r="24" customFormat="false" ht="15" hidden="false" customHeight="false" outlineLevel="0" collapsed="false">
      <c r="A24" s="7" t="n">
        <v>23</v>
      </c>
      <c r="B24" s="7" t="s">
        <v>95</v>
      </c>
      <c r="C24" s="7" t="n">
        <v>30</v>
      </c>
      <c r="D24" s="7" t="n">
        <v>12</v>
      </c>
      <c r="E24" s="7" t="s">
        <v>96</v>
      </c>
      <c r="F24" s="7" t="s">
        <v>97</v>
      </c>
      <c r="G24" s="7" t="s">
        <v>73</v>
      </c>
      <c r="H24" s="7" t="s">
        <v>98</v>
      </c>
      <c r="I24" s="7" t="n">
        <f aca="false">ROUND(IF(E24="T",1.4,IF(E24="C",1.2,IF(E24="N",1,0.8)))*(100-D24)/10 + LOG10(C24+1), 1)</f>
        <v>8.5</v>
      </c>
    </row>
    <row r="25" customFormat="false" ht="15" hidden="false" customHeight="false" outlineLevel="0" collapsed="false">
      <c r="A25" s="7" t="n">
        <v>24</v>
      </c>
      <c r="B25" s="7" t="s">
        <v>99</v>
      </c>
      <c r="C25" s="7" t="n">
        <v>30</v>
      </c>
      <c r="D25" s="7" t="n">
        <v>26</v>
      </c>
      <c r="E25" s="7" t="s">
        <v>34</v>
      </c>
      <c r="F25" s="7" t="s">
        <v>50</v>
      </c>
      <c r="G25" s="9" t="s">
        <v>47</v>
      </c>
      <c r="H25" s="7" t="s">
        <v>100</v>
      </c>
      <c r="I25" s="7" t="n">
        <f aca="false">ROUND(IF(E25="T",1.4,IF(E25="C",1.2,IF(E25="N",1,0.8)))*(100-D25)/10 + LOG10(C25+1), 1)</f>
        <v>10.4</v>
      </c>
    </row>
    <row r="26" customFormat="false" ht="15" hidden="false" customHeight="false" outlineLevel="0" collapsed="false">
      <c r="A26" s="7" t="n">
        <v>25</v>
      </c>
      <c r="B26" s="7" t="s">
        <v>101</v>
      </c>
      <c r="C26" s="7" t="n">
        <v>40</v>
      </c>
      <c r="D26" s="7" t="n">
        <v>22</v>
      </c>
      <c r="E26" s="7" t="s">
        <v>42</v>
      </c>
      <c r="F26" s="7" t="s">
        <v>102</v>
      </c>
      <c r="G26" s="9" t="s">
        <v>47</v>
      </c>
      <c r="H26" s="7" t="s">
        <v>103</v>
      </c>
      <c r="I26" s="7" t="n">
        <f aca="false">ROUND(IF(E26="T",1.4,IF(E26="C",1.2,IF(E26="N",1,0.8)))*(100-D26)/10 + LOG10(C26+1), 1)</f>
        <v>12.5</v>
      </c>
    </row>
    <row r="27" customFormat="false" ht="15" hidden="false" customHeight="false" outlineLevel="0" collapsed="false">
      <c r="A27" s="7" t="n">
        <v>26</v>
      </c>
      <c r="B27" s="7" t="s">
        <v>104</v>
      </c>
      <c r="C27" s="7" t="n">
        <v>20</v>
      </c>
      <c r="D27" s="7" t="n">
        <v>16</v>
      </c>
      <c r="E27" s="7" t="s">
        <v>42</v>
      </c>
      <c r="F27" s="7" t="s">
        <v>105</v>
      </c>
      <c r="G27" s="9" t="s">
        <v>47</v>
      </c>
      <c r="H27" s="7" t="s">
        <v>106</v>
      </c>
      <c r="I27" s="7" t="n">
        <f aca="false">ROUND(IF(E27="T",1.4,IF(E27="C",1.2,IF(E27="N",1,0.8)))*(100-D27)/10 + LOG10(C27+1), 1)</f>
        <v>13.1</v>
      </c>
    </row>
    <row r="28" customFormat="false" ht="15" hidden="false" customHeight="false" outlineLevel="0" collapsed="false">
      <c r="A28" s="7" t="n">
        <v>27</v>
      </c>
      <c r="B28" s="7" t="s">
        <v>107</v>
      </c>
      <c r="C28" s="7" t="n">
        <v>20</v>
      </c>
      <c r="D28" s="7" t="n">
        <v>18</v>
      </c>
      <c r="E28" s="7" t="s">
        <v>42</v>
      </c>
      <c r="F28" s="7" t="s">
        <v>108</v>
      </c>
      <c r="G28" s="9" t="s">
        <v>47</v>
      </c>
      <c r="H28" s="7" t="s">
        <v>109</v>
      </c>
      <c r="I28" s="7" t="n">
        <f aca="false">ROUND(IF(E28="T",1.4,IF(E28="C",1.2,IF(E28="N",1,0.8)))*(100-D28)/10 + LOG10(C28+1), 1)</f>
        <v>12.8</v>
      </c>
    </row>
    <row r="29" customFormat="false" ht="15" hidden="false" customHeight="false" outlineLevel="0" collapsed="false">
      <c r="A29" s="7" t="n">
        <v>28</v>
      </c>
      <c r="B29" s="7" t="s">
        <v>110</v>
      </c>
      <c r="C29" s="7" t="n">
        <v>20</v>
      </c>
      <c r="D29" s="7" t="n">
        <v>20</v>
      </c>
      <c r="E29" s="7" t="s">
        <v>42</v>
      </c>
      <c r="F29" s="7" t="s">
        <v>111</v>
      </c>
      <c r="G29" s="9" t="s">
        <v>47</v>
      </c>
      <c r="H29" s="7" t="s">
        <v>112</v>
      </c>
      <c r="I29" s="7" t="n">
        <f aca="false">ROUND(IF(E29="T",1.4,IF(E29="C",1.2,IF(E29="N",1,0.8)))*(100-D29)/10 + LOG10(C29+1), 1)</f>
        <v>12.5</v>
      </c>
    </row>
    <row r="30" customFormat="false" ht="15" hidden="false" customHeight="false" outlineLevel="0" collapsed="false">
      <c r="A30" s="7" t="n">
        <v>29</v>
      </c>
      <c r="B30" s="7" t="s">
        <v>113</v>
      </c>
      <c r="C30" s="7" t="n">
        <v>30</v>
      </c>
      <c r="D30" s="7" t="n">
        <v>22</v>
      </c>
      <c r="E30" s="7" t="s">
        <v>42</v>
      </c>
      <c r="F30" s="7" t="s">
        <v>114</v>
      </c>
      <c r="G30" s="9" t="s">
        <v>47</v>
      </c>
      <c r="H30" s="7" t="s">
        <v>115</v>
      </c>
      <c r="I30" s="7" t="n">
        <f aca="false">ROUND(IF(E30="T",1.4,IF(E30="C",1.2,IF(E30="N",1,0.8)))*(100-D30)/10 + LOG10(C30+1), 1)</f>
        <v>12.4</v>
      </c>
    </row>
    <row r="31" customFormat="false" ht="15" hidden="false" customHeight="false" outlineLevel="0" collapsed="false">
      <c r="A31" s="7" t="n">
        <v>30</v>
      </c>
      <c r="B31" s="7" t="s">
        <v>116</v>
      </c>
      <c r="C31" s="7" t="n">
        <v>20</v>
      </c>
      <c r="D31" s="7" t="n">
        <v>14</v>
      </c>
      <c r="E31" s="7" t="s">
        <v>34</v>
      </c>
      <c r="F31" s="7" t="s">
        <v>117</v>
      </c>
      <c r="G31" s="9" t="s">
        <v>47</v>
      </c>
      <c r="H31" s="7" t="s">
        <v>118</v>
      </c>
      <c r="I31" s="7" t="n">
        <f aca="false">ROUND(IF(E31="T",1.4,IF(E31="C",1.2,IF(E31="N",1,0.8)))*(100-D31)/10 + LOG10(C31+1), 1)</f>
        <v>11.6</v>
      </c>
    </row>
  </sheetData>
  <conditionalFormatting sqref="I2:I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5" min="4" style="0" width="52"/>
    <col collapsed="false" customWidth="true" hidden="false" outlineLevel="0" max="6" min="6" style="0" width="3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6" t="s">
        <v>119</v>
      </c>
      <c r="B1" s="6" t="s">
        <v>120</v>
      </c>
      <c r="C1" s="6" t="s">
        <v>121</v>
      </c>
      <c r="D1" s="6" t="s">
        <v>122</v>
      </c>
      <c r="E1" s="6" t="s">
        <v>123</v>
      </c>
      <c r="F1" s="6" t="s">
        <v>30</v>
      </c>
      <c r="G1" s="6" t="s">
        <v>124</v>
      </c>
    </row>
    <row r="2" customFormat="false" ht="35.05" hidden="false" customHeight="false" outlineLevel="0" collapsed="false">
      <c r="A2" s="7" t="s">
        <v>125</v>
      </c>
      <c r="B2" s="7" t="s">
        <v>126</v>
      </c>
      <c r="C2" s="7" t="s">
        <v>38</v>
      </c>
      <c r="D2" s="7" t="s">
        <v>127</v>
      </c>
      <c r="E2" s="7" t="s">
        <v>128</v>
      </c>
      <c r="F2" s="7" t="s">
        <v>39</v>
      </c>
      <c r="G2" s="7" t="n">
        <v>80</v>
      </c>
    </row>
    <row r="3" customFormat="false" ht="35.05" hidden="false" customHeight="false" outlineLevel="0" collapsed="false">
      <c r="A3" s="7" t="s">
        <v>129</v>
      </c>
      <c r="B3" s="7" t="s">
        <v>126</v>
      </c>
      <c r="C3" s="7" t="s">
        <v>33</v>
      </c>
      <c r="D3" s="7" t="s">
        <v>130</v>
      </c>
      <c r="E3" s="7" t="s">
        <v>131</v>
      </c>
      <c r="F3" s="7" t="s">
        <v>35</v>
      </c>
      <c r="G3" s="7" t="n">
        <v>120</v>
      </c>
    </row>
    <row r="4" customFormat="false" ht="35.05" hidden="false" customHeight="false" outlineLevel="0" collapsed="false">
      <c r="A4" s="7" t="s">
        <v>132</v>
      </c>
      <c r="B4" s="7" t="s">
        <v>133</v>
      </c>
      <c r="C4" s="7" t="s">
        <v>57</v>
      </c>
      <c r="D4" s="7" t="s">
        <v>134</v>
      </c>
      <c r="E4" s="7" t="s">
        <v>135</v>
      </c>
      <c r="F4" s="7" t="s">
        <v>58</v>
      </c>
      <c r="G4" s="7" t="n">
        <v>200</v>
      </c>
    </row>
    <row r="5" customFormat="false" ht="23.85" hidden="false" customHeight="false" outlineLevel="0" collapsed="false">
      <c r="A5" s="7" t="s">
        <v>136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85</v>
      </c>
      <c r="G5" s="7" t="n">
        <v>50</v>
      </c>
    </row>
    <row r="6" customFormat="false" ht="23.85" hidden="false" customHeight="false" outlineLevel="0" collapsed="false">
      <c r="A6" s="7" t="s">
        <v>141</v>
      </c>
      <c r="B6" s="7" t="s">
        <v>142</v>
      </c>
      <c r="C6" s="7" t="s">
        <v>107</v>
      </c>
      <c r="D6" s="7" t="s">
        <v>143</v>
      </c>
      <c r="E6" s="7" t="s">
        <v>144</v>
      </c>
      <c r="F6" s="7" t="s">
        <v>108</v>
      </c>
      <c r="G6" s="7" t="n">
        <v>25</v>
      </c>
    </row>
    <row r="7" customFormat="false" ht="23.85" hidden="false" customHeight="false" outlineLevel="0" collapsed="false">
      <c r="A7" s="7" t="s">
        <v>145</v>
      </c>
      <c r="B7" s="7" t="s">
        <v>146</v>
      </c>
      <c r="C7" s="7" t="s">
        <v>101</v>
      </c>
      <c r="D7" s="7" t="s">
        <v>147</v>
      </c>
      <c r="E7" s="7" t="s">
        <v>148</v>
      </c>
      <c r="F7" s="7" t="s">
        <v>102</v>
      </c>
      <c r="G7" s="7" t="n">
        <v>30</v>
      </c>
    </row>
    <row r="8" customFormat="false" ht="15" hidden="false" customHeight="false" outlineLevel="0" collapsed="false">
      <c r="A8" s="7" t="s">
        <v>149</v>
      </c>
      <c r="B8" s="7" t="s">
        <v>150</v>
      </c>
      <c r="C8" s="7" t="s">
        <v>104</v>
      </c>
      <c r="D8" s="7" t="s">
        <v>151</v>
      </c>
      <c r="E8" s="7" t="s">
        <v>152</v>
      </c>
      <c r="F8" s="7" t="s">
        <v>105</v>
      </c>
      <c r="G8" s="7" t="n">
        <v>20</v>
      </c>
    </row>
    <row r="9" customFormat="false" ht="23.85" hidden="false" customHeight="false" outlineLevel="0" collapsed="false">
      <c r="A9" s="7" t="s">
        <v>153</v>
      </c>
      <c r="B9" s="7" t="s">
        <v>154</v>
      </c>
      <c r="C9" s="7" t="s">
        <v>110</v>
      </c>
      <c r="D9" s="7" t="s">
        <v>155</v>
      </c>
      <c r="E9" s="7" t="s">
        <v>156</v>
      </c>
      <c r="F9" s="7" t="s">
        <v>111</v>
      </c>
      <c r="G9" s="7" t="n">
        <v>22</v>
      </c>
    </row>
    <row r="10" customFormat="false" ht="15" hidden="false" customHeight="false" outlineLevel="0" collapsed="false">
      <c r="A10" s="7" t="s">
        <v>157</v>
      </c>
      <c r="B10" s="7" t="s">
        <v>158</v>
      </c>
      <c r="C10" s="7" t="s">
        <v>113</v>
      </c>
      <c r="D10" s="7" t="s">
        <v>159</v>
      </c>
      <c r="E10" s="7" t="s">
        <v>160</v>
      </c>
      <c r="F10" s="7" t="s">
        <v>114</v>
      </c>
      <c r="G10" s="7" t="n">
        <v>28</v>
      </c>
    </row>
    <row r="11" customFormat="false" ht="23.85" hidden="false" customHeight="false" outlineLevel="0" collapsed="false">
      <c r="A11" s="7" t="s">
        <v>161</v>
      </c>
      <c r="B11" s="7" t="s">
        <v>162</v>
      </c>
      <c r="C11" s="7" t="s">
        <v>89</v>
      </c>
      <c r="D11" s="7" t="s">
        <v>163</v>
      </c>
      <c r="E11" s="7" t="s">
        <v>164</v>
      </c>
      <c r="F11" s="7" t="s">
        <v>90</v>
      </c>
      <c r="G11" s="7" t="n">
        <v>90</v>
      </c>
    </row>
    <row r="12" customFormat="false" ht="23.85" hidden="false" customHeight="false" outlineLevel="0" collapsed="false">
      <c r="A12" s="7" t="s">
        <v>165</v>
      </c>
      <c r="B12" s="7" t="s">
        <v>162</v>
      </c>
      <c r="C12" s="7" t="s">
        <v>92</v>
      </c>
      <c r="D12" s="7" t="s">
        <v>166</v>
      </c>
      <c r="E12" s="7" t="s">
        <v>167</v>
      </c>
      <c r="F12" s="7" t="s">
        <v>93</v>
      </c>
      <c r="G12" s="7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6" t="s">
        <v>168</v>
      </c>
      <c r="B1" s="6" t="s">
        <v>121</v>
      </c>
      <c r="C1" s="6" t="s">
        <v>169</v>
      </c>
      <c r="D1" s="6" t="s">
        <v>170</v>
      </c>
      <c r="E1" s="6" t="s">
        <v>30</v>
      </c>
    </row>
    <row r="2" customFormat="false" ht="23.85" hidden="false" customHeight="false" outlineLevel="0" collapsed="false">
      <c r="A2" s="7" t="s">
        <v>171</v>
      </c>
      <c r="B2" s="7" t="s">
        <v>172</v>
      </c>
      <c r="C2" s="7" t="s">
        <v>173</v>
      </c>
      <c r="D2" s="7" t="s">
        <v>174</v>
      </c>
      <c r="E2" s="7" t="s">
        <v>175</v>
      </c>
    </row>
    <row r="3" customFormat="false" ht="23.85" hidden="false" customHeight="false" outlineLevel="0" collapsed="false">
      <c r="A3" s="7" t="s">
        <v>176</v>
      </c>
      <c r="B3" s="7" t="s">
        <v>177</v>
      </c>
      <c r="C3" s="7" t="s">
        <v>178</v>
      </c>
      <c r="D3" s="7" t="s">
        <v>179</v>
      </c>
      <c r="E3" s="7" t="s">
        <v>53</v>
      </c>
    </row>
    <row r="4" customFormat="false" ht="23.85" hidden="false" customHeight="false" outlineLevel="0" collapsed="false">
      <c r="A4" s="7" t="s">
        <v>180</v>
      </c>
      <c r="B4" s="7" t="s">
        <v>181</v>
      </c>
      <c r="C4" s="7" t="s">
        <v>182</v>
      </c>
      <c r="D4" s="7" t="s">
        <v>183</v>
      </c>
      <c r="E4" s="7" t="s">
        <v>68</v>
      </c>
    </row>
    <row r="5" customFormat="false" ht="23.85" hidden="false" customHeight="false" outlineLevel="0" collapsed="false">
      <c r="A5" s="7" t="s">
        <v>184</v>
      </c>
      <c r="B5" s="7" t="s">
        <v>116</v>
      </c>
      <c r="C5" s="7" t="s">
        <v>185</v>
      </c>
      <c r="D5" s="7" t="s">
        <v>186</v>
      </c>
      <c r="E5" s="7" t="s">
        <v>117</v>
      </c>
    </row>
    <row r="6" customFormat="false" ht="23.85" hidden="false" customHeight="false" outlineLevel="0" collapsed="false">
      <c r="A6" s="7" t="s">
        <v>187</v>
      </c>
      <c r="B6" s="7" t="s">
        <v>188</v>
      </c>
      <c r="C6" s="7" t="s">
        <v>189</v>
      </c>
      <c r="D6" s="7" t="s">
        <v>190</v>
      </c>
      <c r="E6" s="7" t="s">
        <v>65</v>
      </c>
    </row>
    <row r="7" customFormat="false" ht="23.85" hidden="false" customHeight="false" outlineLevel="0" collapsed="false">
      <c r="A7" s="7" t="s">
        <v>191</v>
      </c>
      <c r="B7" s="7" t="s">
        <v>192</v>
      </c>
      <c r="C7" s="7" t="s">
        <v>193</v>
      </c>
      <c r="D7" s="7" t="s">
        <v>194</v>
      </c>
      <c r="E7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6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27</v>
      </c>
      <c r="B1" s="6" t="s">
        <v>195</v>
      </c>
      <c r="C1" s="6" t="s">
        <v>196</v>
      </c>
      <c r="D1" s="6" t="s">
        <v>197</v>
      </c>
      <c r="E1" s="6" t="s">
        <v>198</v>
      </c>
    </row>
    <row r="2" customFormat="false" ht="15" hidden="false" customHeight="false" outlineLevel="0" collapsed="false">
      <c r="A2" s="7" t="n">
        <v>1</v>
      </c>
      <c r="B2" s="7" t="s">
        <v>199</v>
      </c>
      <c r="C2" s="7" t="s">
        <v>96</v>
      </c>
      <c r="D2" s="7" t="s">
        <v>200</v>
      </c>
      <c r="E2" s="7" t="s">
        <v>201</v>
      </c>
    </row>
    <row r="3" customFormat="false" ht="23.85" hidden="false" customHeight="false" outlineLevel="0" collapsed="false">
      <c r="A3" s="7" t="n">
        <v>2</v>
      </c>
      <c r="B3" s="7" t="s">
        <v>202</v>
      </c>
      <c r="C3" s="7" t="s">
        <v>34</v>
      </c>
      <c r="D3" s="7" t="s">
        <v>203</v>
      </c>
      <c r="E3" s="7" t="s">
        <v>201</v>
      </c>
    </row>
    <row r="4" customFormat="false" ht="15" hidden="false" customHeight="false" outlineLevel="0" collapsed="false">
      <c r="A4" s="7" t="n">
        <v>3</v>
      </c>
      <c r="B4" s="7" t="s">
        <v>78</v>
      </c>
      <c r="C4" s="7" t="s">
        <v>42</v>
      </c>
      <c r="D4" s="7" t="s">
        <v>204</v>
      </c>
      <c r="E4" s="7" t="s">
        <v>201</v>
      </c>
    </row>
    <row r="5" customFormat="false" ht="15" hidden="false" customHeight="false" outlineLevel="0" collapsed="false">
      <c r="A5" s="7" t="n">
        <v>4</v>
      </c>
      <c r="B5" s="7" t="s">
        <v>205</v>
      </c>
      <c r="C5" s="7" t="s">
        <v>96</v>
      </c>
      <c r="D5" s="7" t="s">
        <v>206</v>
      </c>
      <c r="E5" s="7" t="s">
        <v>207</v>
      </c>
    </row>
    <row r="6" customFormat="false" ht="15" hidden="false" customHeight="false" outlineLevel="0" collapsed="false">
      <c r="A6" s="7" t="n">
        <v>5</v>
      </c>
      <c r="B6" s="7" t="s">
        <v>208</v>
      </c>
      <c r="C6" s="7" t="s">
        <v>34</v>
      </c>
      <c r="D6" s="7" t="s">
        <v>209</v>
      </c>
      <c r="E6" s="7" t="s">
        <v>207</v>
      </c>
    </row>
    <row r="7" customFormat="false" ht="15" hidden="false" customHeight="false" outlineLevel="0" collapsed="false">
      <c r="A7" s="7" t="n">
        <v>6</v>
      </c>
      <c r="B7" s="7" t="s">
        <v>210</v>
      </c>
      <c r="C7" s="7" t="s">
        <v>96</v>
      </c>
      <c r="D7" s="7" t="s">
        <v>211</v>
      </c>
      <c r="E7" s="7" t="s">
        <v>201</v>
      </c>
    </row>
    <row r="8" customFormat="false" ht="15" hidden="false" customHeight="false" outlineLevel="0" collapsed="false">
      <c r="A8" s="7" t="n">
        <v>7</v>
      </c>
      <c r="B8" s="7" t="s">
        <v>212</v>
      </c>
      <c r="C8" s="7" t="s">
        <v>96</v>
      </c>
      <c r="D8" s="7" t="s">
        <v>213</v>
      </c>
      <c r="E8" s="7" t="s">
        <v>207</v>
      </c>
    </row>
    <row r="9" customFormat="false" ht="15" hidden="false" customHeight="false" outlineLevel="0" collapsed="false">
      <c r="A9" s="7" t="n">
        <v>8</v>
      </c>
      <c r="B9" s="7" t="s">
        <v>214</v>
      </c>
      <c r="C9" s="7" t="s">
        <v>34</v>
      </c>
      <c r="D9" s="7" t="s">
        <v>215</v>
      </c>
      <c r="E9" s="7" t="s">
        <v>207</v>
      </c>
    </row>
    <row r="10" customFormat="false" ht="15" hidden="false" customHeight="false" outlineLevel="0" collapsed="false">
      <c r="A10" s="7" t="n">
        <v>9</v>
      </c>
      <c r="B10" s="7" t="s">
        <v>216</v>
      </c>
      <c r="C10" s="7" t="s">
        <v>96</v>
      </c>
      <c r="D10" s="7" t="s">
        <v>217</v>
      </c>
      <c r="E10" s="7" t="s">
        <v>218</v>
      </c>
    </row>
    <row r="11" customFormat="false" ht="15" hidden="false" customHeight="false" outlineLevel="0" collapsed="false">
      <c r="A11" s="7" t="n">
        <v>10</v>
      </c>
      <c r="B11" s="7" t="s">
        <v>219</v>
      </c>
      <c r="C11" s="7" t="s">
        <v>34</v>
      </c>
      <c r="D11" s="7" t="s">
        <v>220</v>
      </c>
      <c r="E11" s="7" t="s">
        <v>201</v>
      </c>
    </row>
    <row r="12" customFormat="false" ht="15" hidden="false" customHeight="false" outlineLevel="0" collapsed="false">
      <c r="A12" s="7" t="n">
        <v>11</v>
      </c>
      <c r="B12" s="7" t="s">
        <v>221</v>
      </c>
      <c r="C12" s="7" t="s">
        <v>96</v>
      </c>
      <c r="D12" s="7" t="s">
        <v>222</v>
      </c>
      <c r="E12" s="7" t="s">
        <v>201</v>
      </c>
    </row>
    <row r="13" customFormat="false" ht="15" hidden="false" customHeight="false" outlineLevel="0" collapsed="false">
      <c r="A13" s="7" t="n">
        <v>12</v>
      </c>
      <c r="B13" s="7" t="s">
        <v>223</v>
      </c>
      <c r="C13" s="7" t="s">
        <v>34</v>
      </c>
      <c r="D13" s="7" t="s">
        <v>224</v>
      </c>
      <c r="E13" s="7" t="s">
        <v>207</v>
      </c>
    </row>
    <row r="14" customFormat="false" ht="15" hidden="false" customHeight="false" outlineLevel="0" collapsed="false">
      <c r="A14" s="7" t="n">
        <v>13</v>
      </c>
      <c r="B14" s="7" t="s">
        <v>225</v>
      </c>
      <c r="C14" s="7" t="s">
        <v>34</v>
      </c>
      <c r="D14" s="7" t="s">
        <v>226</v>
      </c>
      <c r="E14" s="7" t="s">
        <v>218</v>
      </c>
    </row>
    <row r="15" customFormat="false" ht="15" hidden="false" customHeight="false" outlineLevel="0" collapsed="false">
      <c r="A15" s="7" t="n">
        <v>14</v>
      </c>
      <c r="B15" s="7" t="s">
        <v>227</v>
      </c>
      <c r="C15" s="7" t="s">
        <v>34</v>
      </c>
      <c r="D15" s="7" t="s">
        <v>228</v>
      </c>
      <c r="E15" s="7" t="s">
        <v>207</v>
      </c>
    </row>
    <row r="16" customFormat="false" ht="15" hidden="false" customHeight="false" outlineLevel="0" collapsed="false">
      <c r="A16" s="7" t="n">
        <v>15</v>
      </c>
      <c r="B16" s="7" t="s">
        <v>229</v>
      </c>
      <c r="C16" s="7" t="s">
        <v>96</v>
      </c>
      <c r="D16" s="7" t="s">
        <v>230</v>
      </c>
      <c r="E16" s="7" t="s">
        <v>218</v>
      </c>
    </row>
    <row r="17" customFormat="false" ht="15" hidden="false" customHeight="false" outlineLevel="0" collapsed="false">
      <c r="A17" s="7" t="n">
        <v>16</v>
      </c>
      <c r="B17" s="7" t="s">
        <v>231</v>
      </c>
      <c r="C17" s="7" t="s">
        <v>96</v>
      </c>
      <c r="D17" s="7" t="s">
        <v>232</v>
      </c>
      <c r="E17" s="7" t="s">
        <v>218</v>
      </c>
    </row>
    <row r="18" customFormat="false" ht="15" hidden="false" customHeight="false" outlineLevel="0" collapsed="false">
      <c r="A18" s="7" t="n">
        <v>17</v>
      </c>
      <c r="B18" s="7" t="s">
        <v>233</v>
      </c>
      <c r="C18" s="7" t="s">
        <v>34</v>
      </c>
      <c r="D18" s="7" t="s">
        <v>234</v>
      </c>
      <c r="E18" s="7" t="s">
        <v>207</v>
      </c>
    </row>
    <row r="19" customFormat="false" ht="15" hidden="false" customHeight="false" outlineLevel="0" collapsed="false">
      <c r="A19" s="7" t="n">
        <v>18</v>
      </c>
      <c r="B19" s="7" t="s">
        <v>235</v>
      </c>
      <c r="C19" s="7" t="s">
        <v>96</v>
      </c>
      <c r="D19" s="7" t="s">
        <v>236</v>
      </c>
      <c r="E19" s="7" t="s">
        <v>218</v>
      </c>
    </row>
    <row r="20" customFormat="false" ht="15" hidden="false" customHeight="false" outlineLevel="0" collapsed="false">
      <c r="A20" s="7" t="n">
        <v>19</v>
      </c>
      <c r="B20" s="7" t="s">
        <v>237</v>
      </c>
      <c r="C20" s="7" t="s">
        <v>96</v>
      </c>
      <c r="D20" s="7" t="s">
        <v>238</v>
      </c>
      <c r="E20" s="7" t="s">
        <v>218</v>
      </c>
    </row>
    <row r="21" customFormat="false" ht="15" hidden="false" customHeight="false" outlineLevel="0" collapsed="false">
      <c r="A21" s="7" t="n">
        <v>20</v>
      </c>
      <c r="B21" s="7" t="s">
        <v>239</v>
      </c>
      <c r="C21" s="7" t="s">
        <v>96</v>
      </c>
      <c r="D21" s="7" t="s">
        <v>240</v>
      </c>
      <c r="E21" s="7" t="s">
        <v>218</v>
      </c>
    </row>
    <row r="22" customFormat="false" ht="15" hidden="false" customHeight="false" outlineLevel="0" collapsed="false">
      <c r="A22" s="7" t="n">
        <v>21</v>
      </c>
      <c r="B22" s="7" t="s">
        <v>241</v>
      </c>
      <c r="C22" s="7" t="s">
        <v>96</v>
      </c>
      <c r="D22" s="7" t="s">
        <v>242</v>
      </c>
      <c r="E22" s="7" t="s">
        <v>201</v>
      </c>
    </row>
    <row r="23" customFormat="false" ht="15" hidden="false" customHeight="false" outlineLevel="0" collapsed="false">
      <c r="A23" s="7" t="n">
        <v>22</v>
      </c>
      <c r="B23" s="7" t="s">
        <v>243</v>
      </c>
      <c r="C23" s="7" t="s">
        <v>34</v>
      </c>
      <c r="D23" s="7" t="s">
        <v>244</v>
      </c>
      <c r="E23" s="7" t="s">
        <v>207</v>
      </c>
    </row>
    <row r="24" customFormat="false" ht="15" hidden="false" customHeight="false" outlineLevel="0" collapsed="false">
      <c r="A24" s="7" t="n">
        <v>23</v>
      </c>
      <c r="B24" s="7" t="s">
        <v>245</v>
      </c>
      <c r="C24" s="7" t="s">
        <v>96</v>
      </c>
      <c r="D24" s="7" t="s">
        <v>246</v>
      </c>
      <c r="E24" s="7" t="s">
        <v>218</v>
      </c>
    </row>
    <row r="25" customFormat="false" ht="15" hidden="false" customHeight="false" outlineLevel="0" collapsed="false">
      <c r="A25" s="7" t="n">
        <v>24</v>
      </c>
      <c r="B25" s="7" t="s">
        <v>247</v>
      </c>
      <c r="C25" s="7" t="s">
        <v>96</v>
      </c>
      <c r="D25" s="7" t="s">
        <v>248</v>
      </c>
      <c r="E25" s="7" t="s">
        <v>218</v>
      </c>
    </row>
    <row r="26" customFormat="false" ht="15" hidden="false" customHeight="false" outlineLevel="0" collapsed="false">
      <c r="A26" s="7" t="n">
        <v>25</v>
      </c>
      <c r="B26" s="7" t="s">
        <v>249</v>
      </c>
      <c r="C26" s="7" t="s">
        <v>96</v>
      </c>
      <c r="D26" s="7" t="s">
        <v>250</v>
      </c>
      <c r="E26" s="7" t="s">
        <v>207</v>
      </c>
    </row>
    <row r="27" customFormat="false" ht="15" hidden="false" customHeight="false" outlineLevel="0" collapsed="false">
      <c r="A27" s="7" t="n">
        <v>26</v>
      </c>
      <c r="B27" s="7" t="s">
        <v>251</v>
      </c>
      <c r="C27" s="7" t="s">
        <v>42</v>
      </c>
      <c r="D27" s="7" t="s">
        <v>252</v>
      </c>
      <c r="E27" s="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64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6" t="s">
        <v>30</v>
      </c>
      <c r="B1" s="6" t="s">
        <v>253</v>
      </c>
      <c r="C1" s="6" t="s">
        <v>254</v>
      </c>
      <c r="D1" s="6" t="s">
        <v>255</v>
      </c>
      <c r="E1" s="6" t="s">
        <v>256</v>
      </c>
      <c r="F1" s="6" t="s">
        <v>121</v>
      </c>
      <c r="G1" s="6" t="s">
        <v>257</v>
      </c>
    </row>
    <row r="2" customFormat="false" ht="35.05" hidden="false" customHeight="false" outlineLevel="0" collapsed="false">
      <c r="A2" s="7" t="s">
        <v>258</v>
      </c>
      <c r="B2" s="7" t="s">
        <v>259</v>
      </c>
      <c r="C2" s="7" t="s">
        <v>260</v>
      </c>
      <c r="D2" s="7" t="s">
        <v>261</v>
      </c>
      <c r="E2" s="7" t="s">
        <v>262</v>
      </c>
      <c r="F2" s="7" t="s">
        <v>33</v>
      </c>
      <c r="G2" s="7" t="s">
        <v>263</v>
      </c>
    </row>
    <row r="3" customFormat="false" ht="23.85" hidden="false" customHeight="false" outlineLevel="0" collapsed="false">
      <c r="A3" s="7" t="s">
        <v>39</v>
      </c>
      <c r="B3" s="7" t="s">
        <v>264</v>
      </c>
      <c r="C3" s="7" t="s">
        <v>265</v>
      </c>
      <c r="D3" s="7" t="s">
        <v>266</v>
      </c>
      <c r="E3" s="7" t="s">
        <v>267</v>
      </c>
      <c r="F3" s="7" t="s">
        <v>38</v>
      </c>
      <c r="G3" s="7" t="s">
        <v>268</v>
      </c>
    </row>
    <row r="4" customFormat="false" ht="35.05" hidden="false" customHeight="false" outlineLevel="0" collapsed="false">
      <c r="A4" s="7" t="s">
        <v>35</v>
      </c>
      <c r="B4" s="7" t="s">
        <v>264</v>
      </c>
      <c r="C4" s="7" t="s">
        <v>269</v>
      </c>
      <c r="D4" s="7" t="s">
        <v>270</v>
      </c>
      <c r="E4" s="7" t="s">
        <v>271</v>
      </c>
      <c r="F4" s="7" t="s">
        <v>33</v>
      </c>
      <c r="G4" s="7" t="s">
        <v>263</v>
      </c>
    </row>
    <row r="5" customFormat="false" ht="23.85" hidden="false" customHeight="false" outlineLevel="0" collapsed="false">
      <c r="A5" s="7" t="s">
        <v>58</v>
      </c>
      <c r="B5" s="7" t="s">
        <v>264</v>
      </c>
      <c r="C5" s="7" t="s">
        <v>272</v>
      </c>
      <c r="D5" s="7" t="s">
        <v>273</v>
      </c>
      <c r="E5" s="7" t="s">
        <v>274</v>
      </c>
      <c r="F5" s="7" t="s">
        <v>57</v>
      </c>
      <c r="G5" s="7" t="s">
        <v>263</v>
      </c>
    </row>
    <row r="6" customFormat="false" ht="23.85" hidden="false" customHeight="false" outlineLevel="0" collapsed="false">
      <c r="A6" s="7" t="s">
        <v>85</v>
      </c>
      <c r="B6" s="7" t="s">
        <v>264</v>
      </c>
      <c r="C6" s="7" t="s">
        <v>275</v>
      </c>
      <c r="D6" s="7" t="s">
        <v>276</v>
      </c>
      <c r="E6" s="7" t="s">
        <v>277</v>
      </c>
      <c r="F6" s="7" t="s">
        <v>138</v>
      </c>
      <c r="G6" s="7" t="s">
        <v>278</v>
      </c>
    </row>
    <row r="7" customFormat="false" ht="23.85" hidden="false" customHeight="false" outlineLevel="0" collapsed="false">
      <c r="A7" s="7" t="s">
        <v>175</v>
      </c>
      <c r="B7" s="7" t="s">
        <v>168</v>
      </c>
      <c r="C7" s="7" t="s">
        <v>279</v>
      </c>
      <c r="D7" s="7" t="s">
        <v>280</v>
      </c>
      <c r="E7" s="7" t="s">
        <v>281</v>
      </c>
      <c r="F7" s="7" t="s">
        <v>172</v>
      </c>
      <c r="G7" s="7" t="s">
        <v>282</v>
      </c>
    </row>
    <row r="8" customFormat="false" ht="23.85" hidden="false" customHeight="false" outlineLevel="0" collapsed="false">
      <c r="A8" s="7" t="s">
        <v>53</v>
      </c>
      <c r="B8" s="7" t="s">
        <v>168</v>
      </c>
      <c r="C8" s="7" t="s">
        <v>283</v>
      </c>
      <c r="D8" s="7" t="s">
        <v>284</v>
      </c>
      <c r="E8" s="7" t="s">
        <v>176</v>
      </c>
      <c r="F8" s="7" t="s">
        <v>177</v>
      </c>
      <c r="G8" s="7" t="s">
        <v>282</v>
      </c>
    </row>
    <row r="9" customFormat="false" ht="35.05" hidden="false" customHeight="false" outlineLevel="0" collapsed="false">
      <c r="A9" s="7" t="s">
        <v>68</v>
      </c>
      <c r="B9" s="7" t="s">
        <v>168</v>
      </c>
      <c r="C9" s="7" t="s">
        <v>285</v>
      </c>
      <c r="D9" s="7" t="s">
        <v>286</v>
      </c>
      <c r="E9" s="7" t="s">
        <v>287</v>
      </c>
      <c r="F9" s="7" t="s">
        <v>181</v>
      </c>
      <c r="G9" s="7" t="s">
        <v>282</v>
      </c>
    </row>
    <row r="10" customFormat="false" ht="23.85" hidden="false" customHeight="false" outlineLevel="0" collapsed="false">
      <c r="A10" s="7" t="s">
        <v>117</v>
      </c>
      <c r="B10" s="7" t="s">
        <v>168</v>
      </c>
      <c r="C10" s="7" t="s">
        <v>288</v>
      </c>
      <c r="D10" s="7" t="s">
        <v>289</v>
      </c>
      <c r="E10" s="7" t="s">
        <v>290</v>
      </c>
      <c r="F10" s="7" t="s">
        <v>116</v>
      </c>
      <c r="G10" s="7" t="s">
        <v>268</v>
      </c>
    </row>
    <row r="11" customFormat="false" ht="35.05" hidden="false" customHeight="false" outlineLevel="0" collapsed="false">
      <c r="A11" s="7" t="s">
        <v>65</v>
      </c>
      <c r="B11" s="7" t="s">
        <v>168</v>
      </c>
      <c r="C11" s="7" t="s">
        <v>291</v>
      </c>
      <c r="D11" s="7" t="s">
        <v>292</v>
      </c>
      <c r="E11" s="7" t="s">
        <v>187</v>
      </c>
      <c r="F11" s="7" t="s">
        <v>188</v>
      </c>
      <c r="G11" s="7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8"/>
    <col collapsed="false" customWidth="true" hidden="false" outlineLevel="0" max="9" min="3" style="0" width="10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6" t="s">
        <v>28</v>
      </c>
      <c r="B1" s="6" t="s">
        <v>30</v>
      </c>
      <c r="C1" s="6" t="s">
        <v>293</v>
      </c>
      <c r="D1" s="6" t="s">
        <v>294</v>
      </c>
      <c r="E1" s="6" t="s">
        <v>295</v>
      </c>
      <c r="F1" s="6" t="s">
        <v>296</v>
      </c>
      <c r="G1" s="6" t="s">
        <v>297</v>
      </c>
      <c r="H1" s="6" t="s">
        <v>298</v>
      </c>
      <c r="I1" s="6" t="s">
        <v>299</v>
      </c>
      <c r="J1" s="6" t="s">
        <v>300</v>
      </c>
      <c r="K1" s="6" t="s">
        <v>32</v>
      </c>
    </row>
    <row r="2" customFormat="false" ht="15" hidden="false" customHeight="false" outlineLevel="0" collapsed="false">
      <c r="A2" s="7" t="n">
        <v>110</v>
      </c>
      <c r="B2" s="7" t="s">
        <v>36</v>
      </c>
      <c r="C2" s="7"/>
      <c r="D2" s="7"/>
      <c r="E2" s="7"/>
      <c r="F2" s="7"/>
      <c r="G2" s="7"/>
      <c r="H2" s="7"/>
      <c r="I2" s="7" t="n">
        <f aca="false">IFERROR(MIN(C2:H2),"")</f>
        <v>0</v>
      </c>
      <c r="J2" s="7"/>
      <c r="K2" s="7"/>
    </row>
    <row r="3" customFormat="false" ht="15" hidden="false" customHeight="false" outlineLevel="0" collapsed="false">
      <c r="A3" s="7" t="n">
        <v>90</v>
      </c>
      <c r="B3" s="7" t="s">
        <v>36</v>
      </c>
      <c r="C3" s="7"/>
      <c r="D3" s="7"/>
      <c r="E3" s="7"/>
      <c r="F3" s="7"/>
      <c r="G3" s="7"/>
      <c r="H3" s="7"/>
      <c r="I3" s="7" t="n">
        <f aca="false">IFERROR(MIN(C3:H3),"")</f>
        <v>0</v>
      </c>
      <c r="J3" s="7"/>
      <c r="K3" s="7"/>
    </row>
    <row r="4" customFormat="false" ht="15" hidden="false" customHeight="false" outlineLevel="0" collapsed="false">
      <c r="A4" s="7" t="n">
        <v>170</v>
      </c>
      <c r="B4" s="7" t="s">
        <v>36</v>
      </c>
      <c r="C4" s="7"/>
      <c r="D4" s="7"/>
      <c r="E4" s="7"/>
      <c r="F4" s="7"/>
      <c r="G4" s="7"/>
      <c r="H4" s="7"/>
      <c r="I4" s="7" t="n">
        <f aca="false">IFERROR(MIN(C4:H4),"")</f>
        <v>0</v>
      </c>
      <c r="J4" s="7"/>
      <c r="K4" s="7"/>
    </row>
    <row r="5" customFormat="false" ht="15" hidden="false" customHeight="false" outlineLevel="0" collapsed="false">
      <c r="A5" s="7" t="n">
        <v>210</v>
      </c>
      <c r="B5" s="7" t="s">
        <v>36</v>
      </c>
      <c r="C5" s="7"/>
      <c r="D5" s="7"/>
      <c r="E5" s="7"/>
      <c r="F5" s="7"/>
      <c r="G5" s="7"/>
      <c r="H5" s="7"/>
      <c r="I5" s="7" t="n">
        <f aca="false">IFERROR(MIN(C5:H5),"")</f>
        <v>0</v>
      </c>
      <c r="J5" s="7"/>
      <c r="K5" s="7"/>
    </row>
    <row r="6" customFormat="false" ht="15" hidden="false" customHeight="false" outlineLevel="0" collapsed="false">
      <c r="A6" s="7" t="n">
        <v>70</v>
      </c>
      <c r="B6" s="7" t="s">
        <v>47</v>
      </c>
      <c r="C6" s="7"/>
      <c r="D6" s="7"/>
      <c r="E6" s="7"/>
      <c r="F6" s="7"/>
      <c r="G6" s="7"/>
      <c r="H6" s="7"/>
      <c r="I6" s="7" t="n">
        <f aca="false">IFERROR(MIN(C6:H6),"")</f>
        <v>0</v>
      </c>
      <c r="J6" s="7"/>
      <c r="K6" s="7"/>
    </row>
    <row r="7" customFormat="false" ht="15" hidden="false" customHeight="false" outlineLevel="0" collapsed="false">
      <c r="A7" s="7" t="n">
        <v>140</v>
      </c>
      <c r="B7" s="7" t="s">
        <v>47</v>
      </c>
      <c r="C7" s="7"/>
      <c r="D7" s="7"/>
      <c r="E7" s="7"/>
      <c r="F7" s="7"/>
      <c r="G7" s="7"/>
      <c r="H7" s="7"/>
      <c r="I7" s="7" t="n">
        <f aca="false">IFERROR(MIN(C7:H7),"")</f>
        <v>0</v>
      </c>
      <c r="J7" s="7"/>
      <c r="K7" s="7"/>
    </row>
    <row r="8" customFormat="false" ht="15" hidden="false" customHeight="false" outlineLevel="0" collapsed="false">
      <c r="A8" s="7" t="n">
        <v>90</v>
      </c>
      <c r="B8" s="7" t="s">
        <v>36</v>
      </c>
      <c r="C8" s="7"/>
      <c r="D8" s="7"/>
      <c r="E8" s="7"/>
      <c r="F8" s="7"/>
      <c r="G8" s="7"/>
      <c r="H8" s="7"/>
      <c r="I8" s="7" t="n">
        <f aca="false">IFERROR(MIN(C8:H8),"")</f>
        <v>0</v>
      </c>
      <c r="J8" s="7"/>
      <c r="K8" s="7"/>
    </row>
    <row r="9" customFormat="false" ht="15" hidden="false" customHeight="false" outlineLevel="0" collapsed="false">
      <c r="A9" s="7" t="n">
        <v>50</v>
      </c>
      <c r="B9" s="7" t="s">
        <v>47</v>
      </c>
      <c r="C9" s="7"/>
      <c r="D9" s="7"/>
      <c r="E9" s="7"/>
      <c r="F9" s="7"/>
      <c r="G9" s="7"/>
      <c r="H9" s="7"/>
      <c r="I9" s="7" t="n">
        <f aca="false">IFERROR(MIN(C9:H9),"")</f>
        <v>0</v>
      </c>
      <c r="J9" s="7"/>
      <c r="K9" s="7"/>
    </row>
    <row r="10" customFormat="false" ht="15" hidden="false" customHeight="false" outlineLevel="0" collapsed="false">
      <c r="A10" s="7" t="n">
        <v>320</v>
      </c>
      <c r="B10" s="7" t="s">
        <v>36</v>
      </c>
      <c r="C10" s="7"/>
      <c r="D10" s="7"/>
      <c r="E10" s="7"/>
      <c r="F10" s="7"/>
      <c r="G10" s="7"/>
      <c r="H10" s="7"/>
      <c r="I10" s="7" t="n">
        <f aca="false">IFERROR(MIN(C10:H10),"")</f>
        <v>0</v>
      </c>
      <c r="J10" s="7"/>
      <c r="K10" s="7"/>
    </row>
    <row r="11" customFormat="false" ht="15" hidden="false" customHeight="false" outlineLevel="0" collapsed="false">
      <c r="A11" s="7" t="n">
        <v>480</v>
      </c>
      <c r="B11" s="7" t="s">
        <v>36</v>
      </c>
      <c r="C11" s="7"/>
      <c r="D11" s="7"/>
      <c r="E11" s="7"/>
      <c r="F11" s="7"/>
      <c r="G11" s="7"/>
      <c r="H11" s="7"/>
      <c r="I11" s="7" t="n">
        <f aca="false">IFERROR(MIN(C11:H11),"")</f>
        <v>0</v>
      </c>
      <c r="J11" s="7"/>
      <c r="K11" s="7"/>
    </row>
    <row r="12" customFormat="false" ht="15" hidden="false" customHeight="false" outlineLevel="0" collapsed="false">
      <c r="A12" s="7" t="n">
        <v>170</v>
      </c>
      <c r="B12" s="7" t="s">
        <v>47</v>
      </c>
      <c r="C12" s="7"/>
      <c r="D12" s="7"/>
      <c r="E12" s="7"/>
      <c r="F12" s="7"/>
      <c r="G12" s="7"/>
      <c r="H12" s="7"/>
      <c r="I12" s="7" t="n">
        <f aca="false">IFERROR(MIN(C12:H12),"")</f>
        <v>0</v>
      </c>
      <c r="J12" s="7"/>
      <c r="K12" s="7"/>
    </row>
    <row r="13" customFormat="false" ht="15" hidden="false" customHeight="false" outlineLevel="0" collapsed="false">
      <c r="A13" s="7" t="n">
        <v>90</v>
      </c>
      <c r="B13" s="7" t="s">
        <v>47</v>
      </c>
      <c r="C13" s="7"/>
      <c r="D13" s="7"/>
      <c r="E13" s="7"/>
      <c r="F13" s="7"/>
      <c r="G13" s="7"/>
      <c r="H13" s="7"/>
      <c r="I13" s="7" t="n">
        <f aca="false">IFERROR(MIN(C13:H13),"")</f>
        <v>0</v>
      </c>
      <c r="J13" s="7"/>
      <c r="K13" s="7"/>
    </row>
    <row r="14" customFormat="false" ht="15" hidden="false" customHeight="false" outlineLevel="0" collapsed="false">
      <c r="A14" s="7" t="n">
        <v>20</v>
      </c>
      <c r="B14" s="7" t="s">
        <v>36</v>
      </c>
      <c r="C14" s="7"/>
      <c r="D14" s="7"/>
      <c r="E14" s="7"/>
      <c r="F14" s="7"/>
      <c r="G14" s="7"/>
      <c r="H14" s="7"/>
      <c r="I14" s="7" t="n">
        <f aca="false">IFERROR(MIN(C14:H14),"")</f>
        <v>0</v>
      </c>
      <c r="J14" s="7"/>
      <c r="K14" s="7"/>
    </row>
    <row r="15" customFormat="false" ht="15" hidden="false" customHeight="false" outlineLevel="0" collapsed="false">
      <c r="A15" s="7" t="n">
        <v>10</v>
      </c>
      <c r="B15" s="7" t="s">
        <v>47</v>
      </c>
      <c r="C15" s="7"/>
      <c r="D15" s="7"/>
      <c r="E15" s="7"/>
      <c r="F15" s="7"/>
      <c r="G15" s="7"/>
      <c r="H15" s="7"/>
      <c r="I15" s="7" t="n">
        <f aca="false">IFERROR(MIN(C15:H15),"")</f>
        <v>0</v>
      </c>
      <c r="J15" s="7"/>
      <c r="K15" s="7"/>
    </row>
    <row r="16" customFormat="false" ht="15" hidden="false" customHeight="false" outlineLevel="0" collapsed="false">
      <c r="A16" s="7" t="n">
        <v>590</v>
      </c>
      <c r="B16" s="7" t="s">
        <v>73</v>
      </c>
      <c r="C16" s="7"/>
      <c r="D16" s="7"/>
      <c r="E16" s="7"/>
      <c r="F16" s="7"/>
      <c r="G16" s="7"/>
      <c r="H16" s="7"/>
      <c r="I16" s="7" t="n">
        <f aca="false">IFERROR(MIN(C16:H16),"")</f>
        <v>0</v>
      </c>
      <c r="J16" s="7"/>
      <c r="K16" s="7"/>
    </row>
    <row r="17" customFormat="false" ht="15" hidden="false" customHeight="false" outlineLevel="0" collapsed="false">
      <c r="A17" s="7" t="n">
        <v>40</v>
      </c>
      <c r="B17" s="7" t="s">
        <v>47</v>
      </c>
      <c r="C17" s="7"/>
      <c r="D17" s="7"/>
      <c r="E17" s="7"/>
      <c r="F17" s="7"/>
      <c r="G17" s="7"/>
      <c r="H17" s="7"/>
      <c r="I17" s="7" t="n">
        <f aca="false">IFERROR(MIN(C17:H17),"")</f>
        <v>0</v>
      </c>
      <c r="J17" s="7"/>
      <c r="K17" s="7"/>
    </row>
    <row r="18" customFormat="false" ht="15" hidden="false" customHeight="false" outlineLevel="0" collapsed="false">
      <c r="A18" s="7" t="n">
        <v>30</v>
      </c>
      <c r="B18" s="7" t="s">
        <v>73</v>
      </c>
      <c r="C18" s="7"/>
      <c r="D18" s="7"/>
      <c r="E18" s="7"/>
      <c r="F18" s="7"/>
      <c r="G18" s="7"/>
      <c r="H18" s="7"/>
      <c r="I18" s="7" t="n">
        <f aca="false">IFERROR(MIN(C18:H18),"")</f>
        <v>0</v>
      </c>
      <c r="J18" s="7"/>
      <c r="K18" s="7"/>
    </row>
    <row r="19" customFormat="false" ht="15" hidden="false" customHeight="false" outlineLevel="0" collapsed="false">
      <c r="A19" s="7" t="n">
        <v>20</v>
      </c>
      <c r="B19" s="7" t="s">
        <v>73</v>
      </c>
      <c r="C19" s="7"/>
      <c r="D19" s="7"/>
      <c r="E19" s="7"/>
      <c r="F19" s="7"/>
      <c r="G19" s="7"/>
      <c r="H19" s="7"/>
      <c r="I19" s="7" t="n">
        <f aca="false">IFERROR(MIN(C19:H19),"")</f>
        <v>0</v>
      </c>
      <c r="J19" s="7"/>
      <c r="K19" s="7"/>
    </row>
    <row r="20" customFormat="false" ht="15" hidden="false" customHeight="false" outlineLevel="0" collapsed="false">
      <c r="A20" s="7" t="n">
        <v>70</v>
      </c>
      <c r="B20" s="7" t="s">
        <v>36</v>
      </c>
      <c r="C20" s="7"/>
      <c r="D20" s="7"/>
      <c r="E20" s="7"/>
      <c r="F20" s="7"/>
      <c r="G20" s="7"/>
      <c r="H20" s="7"/>
      <c r="I20" s="7" t="n">
        <f aca="false">IFERROR(MIN(C20:H20),"")</f>
        <v>0</v>
      </c>
      <c r="J20" s="7"/>
      <c r="K20" s="7"/>
    </row>
    <row r="21" customFormat="false" ht="15" hidden="false" customHeight="false" outlineLevel="0" collapsed="false">
      <c r="A21" s="7" t="n">
        <v>30</v>
      </c>
      <c r="B21" s="7" t="s">
        <v>47</v>
      </c>
      <c r="C21" s="7"/>
      <c r="D21" s="7"/>
      <c r="E21" s="7"/>
      <c r="F21" s="7"/>
      <c r="G21" s="7"/>
      <c r="H21" s="7"/>
      <c r="I21" s="7" t="n">
        <f aca="false">IFERROR(MIN(C21:H21),"")</f>
        <v>0</v>
      </c>
      <c r="J21" s="7"/>
      <c r="K21" s="7"/>
    </row>
    <row r="22" customFormat="false" ht="15" hidden="false" customHeight="false" outlineLevel="0" collapsed="false">
      <c r="A22" s="7" t="n">
        <v>210</v>
      </c>
      <c r="B22" s="7" t="s">
        <v>36</v>
      </c>
      <c r="C22" s="7"/>
      <c r="D22" s="7"/>
      <c r="E22" s="7"/>
      <c r="F22" s="7"/>
      <c r="G22" s="7"/>
      <c r="H22" s="7"/>
      <c r="I22" s="7" t="n">
        <f aca="false">IFERROR(MIN(C22:H22),"")</f>
        <v>0</v>
      </c>
      <c r="J22" s="7"/>
      <c r="K22" s="7"/>
    </row>
    <row r="23" customFormat="false" ht="15" hidden="false" customHeight="false" outlineLevel="0" collapsed="false">
      <c r="A23" s="7" t="n">
        <v>50</v>
      </c>
      <c r="B23" s="7" t="s">
        <v>36</v>
      </c>
      <c r="C23" s="7"/>
      <c r="D23" s="7"/>
      <c r="E23" s="7"/>
      <c r="F23" s="7"/>
      <c r="G23" s="7"/>
      <c r="H23" s="7"/>
      <c r="I23" s="7" t="n">
        <f aca="false">IFERROR(MIN(C23:H23),"")</f>
        <v>0</v>
      </c>
      <c r="J23" s="7"/>
      <c r="K23" s="7"/>
    </row>
    <row r="24" customFormat="false" ht="15" hidden="false" customHeight="false" outlineLevel="0" collapsed="false">
      <c r="A24" s="7" t="n">
        <v>30</v>
      </c>
      <c r="B24" s="7" t="s">
        <v>73</v>
      </c>
      <c r="C24" s="7"/>
      <c r="D24" s="7"/>
      <c r="E24" s="7"/>
      <c r="F24" s="7"/>
      <c r="G24" s="7"/>
      <c r="H24" s="7"/>
      <c r="I24" s="7" t="n">
        <f aca="false">IFERROR(MIN(C24:H24),"")</f>
        <v>0</v>
      </c>
      <c r="J24" s="7"/>
      <c r="K24" s="7"/>
    </row>
    <row r="25" customFormat="false" ht="15" hidden="false" customHeight="false" outlineLevel="0" collapsed="false">
      <c r="A25" s="7" t="n">
        <v>30</v>
      </c>
      <c r="B25" s="7" t="s">
        <v>47</v>
      </c>
      <c r="C25" s="7"/>
      <c r="D25" s="7"/>
      <c r="E25" s="7"/>
      <c r="F25" s="7"/>
      <c r="G25" s="7"/>
      <c r="H25" s="7"/>
      <c r="I25" s="7" t="n">
        <f aca="false">IFERROR(MIN(C25:H25),"")</f>
        <v>0</v>
      </c>
      <c r="J25" s="7"/>
      <c r="K25" s="7"/>
    </row>
    <row r="26" customFormat="false" ht="15" hidden="false" customHeight="false" outlineLevel="0" collapsed="false">
      <c r="A26" s="7" t="n">
        <v>40</v>
      </c>
      <c r="B26" s="7" t="s">
        <v>47</v>
      </c>
      <c r="C26" s="7"/>
      <c r="D26" s="7"/>
      <c r="E26" s="7"/>
      <c r="F26" s="7"/>
      <c r="G26" s="7"/>
      <c r="H26" s="7"/>
      <c r="I26" s="7" t="n">
        <f aca="false">IFERROR(MIN(C26:H26),"")</f>
        <v>0</v>
      </c>
      <c r="J26" s="7"/>
      <c r="K26" s="7"/>
    </row>
    <row r="27" customFormat="false" ht="15" hidden="false" customHeight="false" outlineLevel="0" collapsed="false">
      <c r="A27" s="7" t="n">
        <v>20</v>
      </c>
      <c r="B27" s="7" t="s">
        <v>47</v>
      </c>
      <c r="C27" s="7"/>
      <c r="D27" s="7"/>
      <c r="E27" s="7"/>
      <c r="F27" s="7"/>
      <c r="G27" s="7"/>
      <c r="H27" s="7"/>
      <c r="I27" s="7" t="n">
        <f aca="false">IFERROR(MIN(C27:H27),"")</f>
        <v>0</v>
      </c>
      <c r="J27" s="7"/>
      <c r="K27" s="7"/>
    </row>
    <row r="28" customFormat="false" ht="15" hidden="false" customHeight="false" outlineLevel="0" collapsed="false">
      <c r="A28" s="7" t="n">
        <v>20</v>
      </c>
      <c r="B28" s="7" t="s">
        <v>47</v>
      </c>
      <c r="C28" s="7"/>
      <c r="D28" s="7"/>
      <c r="E28" s="7"/>
      <c r="F28" s="7"/>
      <c r="G28" s="7"/>
      <c r="H28" s="7"/>
      <c r="I28" s="7" t="n">
        <f aca="false">IFERROR(MIN(C28:H28),"")</f>
        <v>0</v>
      </c>
      <c r="J28" s="7"/>
      <c r="K28" s="7"/>
    </row>
    <row r="29" customFormat="false" ht="15" hidden="false" customHeight="false" outlineLevel="0" collapsed="false">
      <c r="A29" s="7" t="n">
        <v>20</v>
      </c>
      <c r="B29" s="7" t="s">
        <v>47</v>
      </c>
      <c r="C29" s="7"/>
      <c r="D29" s="7"/>
      <c r="E29" s="7"/>
      <c r="F29" s="7"/>
      <c r="G29" s="7"/>
      <c r="H29" s="7"/>
      <c r="I29" s="7" t="n">
        <f aca="false">IFERROR(MIN(C29:H29),"")</f>
        <v>0</v>
      </c>
      <c r="J29" s="7"/>
      <c r="K29" s="7"/>
    </row>
    <row r="30" customFormat="false" ht="15" hidden="false" customHeight="false" outlineLevel="0" collapsed="false">
      <c r="A30" s="7" t="n">
        <v>30</v>
      </c>
      <c r="B30" s="7" t="s">
        <v>47</v>
      </c>
      <c r="C30" s="7"/>
      <c r="D30" s="7"/>
      <c r="E30" s="7"/>
      <c r="F30" s="7"/>
      <c r="G30" s="7"/>
      <c r="H30" s="7"/>
      <c r="I30" s="7" t="n">
        <f aca="false">IFERROR(MIN(C30:H30),"")</f>
        <v>0</v>
      </c>
      <c r="J30" s="7"/>
      <c r="K30" s="7"/>
    </row>
    <row r="31" customFormat="false" ht="15" hidden="false" customHeight="false" outlineLevel="0" collapsed="false">
      <c r="A31" s="7" t="n">
        <v>20</v>
      </c>
      <c r="B31" s="7" t="s">
        <v>47</v>
      </c>
      <c r="C31" s="7"/>
      <c r="D31" s="7"/>
      <c r="E31" s="7"/>
      <c r="F31" s="7"/>
      <c r="G31" s="7"/>
      <c r="H31" s="7"/>
      <c r="I31" s="7" t="n">
        <f aca="false">IFERROR(MIN(C31:H31),"")</f>
        <v>0</v>
      </c>
      <c r="J31" s="7"/>
      <c r="K3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2026-05-15T16:06:17Z</dcterms:created>
  <dc:creator>openpyxl</dc:creator>
  <dc:description/>
  <dc:language>en-US</dc:language>
  <cp:lastModifiedBy/>
  <dcterms:modified xsi:type="dcterms:W3CDTF">2026-05-15T16:06:17Z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